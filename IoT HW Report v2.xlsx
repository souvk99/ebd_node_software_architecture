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 v2" sheetId="1" r:id="rId4"/>
    <sheet state="visible" name="Power Simulation v2" sheetId="2" r:id="rId5"/>
    <sheet state="visible" name="Mechanical &amp; Weight v2" sheetId="3" r:id="rId6"/>
    <sheet state="visible" name="LED Patterns" sheetId="4" r:id="rId7"/>
  </sheets>
  <definedNames>
    <definedName hidden="1" localSheetId="0" name="_xlnm._FilterDatabase">'BOM v2'!$A$3:$Q$81</definedName>
  </definedNames>
  <calcPr/>
  <extLst>
    <ext uri="GoogleSheetsCustomDataVersion2">
      <go:sheetsCustomData xmlns:go="http://customooxmlschemas.google.com/" r:id="rId8" roundtripDataChecksum="D32Xa4W/Rioi8FgeY72k1AKLS736Hkpyb+Z50+31vk0="/>
    </ext>
  </extLst>
</workbook>
</file>

<file path=xl/sharedStrings.xml><?xml version="1.0" encoding="utf-8"?>
<sst xmlns="http://schemas.openxmlformats.org/spreadsheetml/2006/main" count="1710" uniqueCount="1088">
  <si>
    <t>BILL OF MATERIALS  v2  —  IoT End Node for Smart Military</t>
  </si>
  <si>
    <t>STM32WB55CG | Semtech LR1120 | Quectel L89H | ISM330DLC | SE2435L FEM | SLB9670 TPM 2.0 | BQ25892 33W QC4+ | Single IP67 Button | 4-LED System</t>
  </si>
  <si>
    <t>#</t>
  </si>
  <si>
    <t>Ref Des</t>
  </si>
  <si>
    <t>Description</t>
  </si>
  <si>
    <t>Manufacturer</t>
  </si>
  <si>
    <t>Part Number</t>
  </si>
  <si>
    <t>Package</t>
  </si>
  <si>
    <t>Value / Spec</t>
  </si>
  <si>
    <t>Qty</t>
  </si>
  <si>
    <t>Unit ($)</t>
  </si>
  <si>
    <t>Ext ($)</t>
  </si>
  <si>
    <t>Vrating</t>
  </si>
  <si>
    <t>Temp (°C)</t>
  </si>
  <si>
    <t>Tolerance</t>
  </si>
  <si>
    <t>Category</t>
  </si>
  <si>
    <t>Notes / Source</t>
  </si>
  <si>
    <t>DNP</t>
  </si>
  <si>
    <t>Alt. Part</t>
  </si>
  <si>
    <t xml:space="preserve">  ▶  ICs — MICROCONTROLLER, WIRELESS &amp; SECURITY</t>
  </si>
  <si>
    <t>U1</t>
  </si>
  <si>
    <t>MCU + BLE 5.4 SoC</t>
  </si>
  <si>
    <t>STMicroelectronics</t>
  </si>
  <si>
    <t>STM32WB55CGU6TR</t>
  </si>
  <si>
    <t>QFN-48 7×7mm</t>
  </si>
  <si>
    <t>Cortex-M4@64MHz +M0+, 1MB Flash, 256KB RAM, BLE5.4, Zigbee</t>
  </si>
  <si>
    <t>1.8–3.6V</t>
  </si>
  <si>
    <t>-40…+85</t>
  </si>
  <si>
    <t>—</t>
  </si>
  <si>
    <t>IC – MCU</t>
  </si>
  <si>
    <t>BLE stack on M0+; HSE driven by TCXO X1 via BYPASS mode; Stop2=2.5µA</t>
  </si>
  <si>
    <t>N</t>
  </si>
  <si>
    <t>STM32WB55RGV6TR</t>
  </si>
  <si>
    <t>U2</t>
  </si>
  <si>
    <t>LoRa Edge Transceiver</t>
  </si>
  <si>
    <t>Semtech</t>
  </si>
  <si>
    <t>LR1120IMLTRT</t>
  </si>
  <si>
    <t>QFN-32 5×5mm</t>
  </si>
  <si>
    <t>Sub-GHz 150–960MHz + 2.4GHz + S-Band 1.9–2.1GHz, GNSS scanner, LR-FHSS</t>
  </si>
  <si>
    <t>3.3V (Vdd_rf 3.3V typ)</t>
  </si>
  <si>
    <t>IC – RF</t>
  </si>
  <si>
    <t>SPI to U1; TCXO_CTRL from LR1120 DIO; BYPASS: TCXO drives X1 directly; sleep&lt;1µA</t>
  </si>
  <si>
    <t>LR1110IMLTRT</t>
  </si>
  <si>
    <t>U3</t>
  </si>
  <si>
    <t>GNSS Multi-constellation</t>
  </si>
  <si>
    <t>Quectel</t>
  </si>
  <si>
    <t>L89HAAMD</t>
  </si>
  <si>
    <t>LCC-52 17×15mm</t>
  </si>
  <si>
    <t>NavIC L1+L5, GPS, GLONASS, BeiDou, QZSS, 50ch receiver</t>
  </si>
  <si>
    <t>3.135–3.465V (3.3V nom)</t>
  </si>
  <si>
    <t>IC – GNSS</t>
  </si>
  <si>
    <t>UART4 to U1; 1PPS→GPIO; backup supply 3V; 15µA backup mode; clean 3.3V from U8 LDO</t>
  </si>
  <si>
    <t>L89HAALA</t>
  </si>
  <si>
    <t>U4</t>
  </si>
  <si>
    <t>6-DOF IMU</t>
  </si>
  <si>
    <t>ISM330DLCTR</t>
  </si>
  <si>
    <t>LGA-14 2.5×3mm</t>
  </si>
  <si>
    <t>±16g accel, ±2000dps gyro; I2C/SPI; INT1 sharp-accel wakeup</t>
  </si>
  <si>
    <t>1.71–3.6V</t>
  </si>
  <si>
    <t>IC – Sensor</t>
  </si>
  <si>
    <t>I2C1 to U1; INT1→EXTI wakeup; LP accel-only mode 25µA; power-down 3µA</t>
  </si>
  <si>
    <t>LSM6DSL</t>
  </si>
  <si>
    <t>U5</t>
  </si>
  <si>
    <t>27dBm PA + 1.2dB NF LNA FEM</t>
  </si>
  <si>
    <t>Skyworks</t>
  </si>
  <si>
    <t>SE2435L</t>
  </si>
  <si>
    <t>QFN-12 3×3mm</t>
  </si>
  <si>
    <t>TX PA +27dBm max; RX LNA NF 1.2dB; 863–960MHz; single 3.3V supply</t>
  </si>
  <si>
    <t>3.0–3.6V</t>
  </si>
  <si>
    <t>IC – RF FEM</t>
  </si>
  <si>
    <t>CSD pin driven by LR1120 DIO2; Bypass mode at ≤22dBm; TX 320mA @27dBm</t>
  </si>
  <si>
    <t>RFFM4202</t>
  </si>
  <si>
    <t>U6</t>
  </si>
  <si>
    <t>SPDT RF Switch</t>
  </si>
  <si>
    <t>SKY13585-460LF</t>
  </si>
  <si>
    <t>SOT-26</t>
  </si>
  <si>
    <t>0.1–6GHz; IL 0.5dB; isolation 35dB; Pmax 35dBm; CMOS ctrl</t>
  </si>
  <si>
    <t>1.8–3.3V (ctrl)</t>
  </si>
  <si>
    <t>IC – RF Switch</t>
  </si>
  <si>
    <t>Antenna mux for LR1120 sub-GHz HF/LF ports; ctrl from LR1120 DIO3/DIO4; 10µA Icc</t>
  </si>
  <si>
    <t>PE4259-63</t>
  </si>
  <si>
    <t>U7</t>
  </si>
  <si>
    <t>TPM 2.0 Security Chip</t>
  </si>
  <si>
    <t>Infineon</t>
  </si>
  <si>
    <t>SLB9670AQ20FW800BPLA1</t>
  </si>
  <si>
    <t>QFN-32 6×6mm</t>
  </si>
  <si>
    <t>TPM 2.0; SPI; SHA-256/384; RSA-2048; ECC P-256; AES-128</t>
  </si>
  <si>
    <t>1.7–3.6V (3.3V nom)</t>
  </si>
  <si>
    <t>IC – Security</t>
  </si>
  <si>
    <t>SPI2 to U1; payload authentication + ASCON assist; RST from U1; &lt;5µA sleep; IRQ out</t>
  </si>
  <si>
    <t>SLM9670AQ20FW110</t>
  </si>
  <si>
    <t>U8</t>
  </si>
  <si>
    <t>3.3V Buck Regulator</t>
  </si>
  <si>
    <t>Texas Instruments</t>
  </si>
  <si>
    <t>TPS62740DSST</t>
  </si>
  <si>
    <t>WSON-8 2×2mm</t>
  </si>
  <si>
    <t>Vin 1.8–5.5V; Vout 1.8–3.3V adj; 300mA; Iq=360nA PFM</t>
  </si>
  <si>
    <t>5.5V max input</t>
  </si>
  <si>
    <t>IC – Power</t>
  </si>
  <si>
    <t>Main 3.3V system rail; EN from U10 SYSOUT; L3+C55/C56 external; PFM in light load</t>
  </si>
  <si>
    <t>TPS62745</t>
  </si>
  <si>
    <t>U9</t>
  </si>
  <si>
    <t>Ultra-Low-Noise LDO 3.3V</t>
  </si>
  <si>
    <t>LP5907MFX-3.3</t>
  </si>
  <si>
    <t>SOT-23-5</t>
  </si>
  <si>
    <t>Vout 3.3V; 250mA; PSRR 72dB @1kHz; Iq=70µA</t>
  </si>
  <si>
    <t>Dedicated clean rail for L89H RF + LR1120 Vdd_rf; reduces phase noise</t>
  </si>
  <si>
    <t>AP7381-33Y</t>
  </si>
  <si>
    <t>U10</t>
  </si>
  <si>
    <t>33W QC4+ Fast Charger IC</t>
  </si>
  <si>
    <t>BQ25892RTWT</t>
  </si>
  <si>
    <t>WQFN-24 3.5×4mm</t>
  </si>
  <si>
    <t>9V/3A QC4.0; 12V/2.75A; 5A charge I; I2C; DPM; OTP</t>
  </si>
  <si>
    <t>14V max Vbus</t>
  </si>
  <si>
    <t>IC – Charger</t>
  </si>
  <si>
    <t>QC4+/QC3.0 protocol native; pairs with U11 FUSB302 for full USB-PD3.0 33W; 3C rate @3000mAh</t>
  </si>
  <si>
    <t>BQ25896RTWR</t>
  </si>
  <si>
    <t>U11</t>
  </si>
  <si>
    <t>USB-C PD Controller</t>
  </si>
  <si>
    <t>ON Semiconductor</t>
  </si>
  <si>
    <t>FUSB302BUCX</t>
  </si>
  <si>
    <t>QFN-24 3×3mm</t>
  </si>
  <si>
    <t>USB PD 2.0/3.0; QC4+ negotiation; I2C to MCU; CC1/CC2</t>
  </si>
  <si>
    <t>20V tolerant CC</t>
  </si>
  <si>
    <t>IC – USB PD</t>
  </si>
  <si>
    <t>Negotiates 9V/3A or 12V/2.75A from USB-C PD adapter; INT to U1; ref: Xiaomi 33W BMS design</t>
  </si>
  <si>
    <t>FUSB307BUCX</t>
  </si>
  <si>
    <t>U12</t>
  </si>
  <si>
    <t>1-Cell Fuel Gauge</t>
  </si>
  <si>
    <t>BQ27427YZFT</t>
  </si>
  <si>
    <t>DSBGA-9 1.6×1.5mm</t>
  </si>
  <si>
    <t>SoC, SoH, FCC; I2C; CEDV gauge; 1µA sleep</t>
  </si>
  <si>
    <t>Vbat 1.8–4.5V</t>
  </si>
  <si>
    <t>IC – Gauge</t>
  </si>
  <si>
    <t>I2C1 shared; GPOUT→U1 EXTI alert at 5% SoC for LED blink pattern trigger</t>
  </si>
  <si>
    <t>LC709203F</t>
  </si>
  <si>
    <t xml:space="preserve">  ▶  RF — MATCHING NETWORK &amp; TCXO (FIX 1: Single 32MHz TCXO)</t>
  </si>
  <si>
    <t>X1</t>
  </si>
  <si>
    <t>32MHz TCXO (LR1120 + STM32WB HSE)</t>
  </si>
  <si>
    <t>TXC Corporation</t>
  </si>
  <si>
    <t>7Q-32.000MBB-T</t>
  </si>
  <si>
    <t>2.0×1.6mm SMD</t>
  </si>
  <si>
    <t>32MHz; ±0.5ppm; 3.3V CMOS; Icc=2mA; Ise&lt;1µA</t>
  </si>
  <si>
    <t>3.3V supply</t>
  </si>
  <si>
    <t>±0.5ppm</t>
  </si>
  <si>
    <t>Oscillator – TCXO</t>
  </si>
  <si>
    <t>FIX: Single TCXO replaces X1 crystal + X3 TCXO. TCXO_OUT → LR1120 DIO5/TCXO_IN AND → STM32WB HSE_IN (BYPASS mode, R_series 33Ω each). STM32WB RCC_OscInit: HSE_BYPASS=ENABLE</t>
  </si>
  <si>
    <t>ASTX-H12-32.000MHz</t>
  </si>
  <si>
    <t>X2</t>
  </si>
  <si>
    <t>32.768kHz LSE Crystal (RTC only)</t>
  </si>
  <si>
    <t>Epson</t>
  </si>
  <si>
    <t>FC-135 32.768KHZ-AG6</t>
  </si>
  <si>
    <t>1610 SMD</t>
  </si>
  <si>
    <t>32.768kHz; ±20ppm; 7pF CL; ESR&lt;50kΩ</t>
  </si>
  <si>
    <t>±20ppm</t>
  </si>
  <si>
    <t>Crystal – RTC</t>
  </si>
  <si>
    <t>Dedicated RTC low-speed external; cannot be replaced by TCXO; C48/C49 12pF load caps</t>
  </si>
  <si>
    <t>NX1610SA-32.768K</t>
  </si>
  <si>
    <t>L1</t>
  </si>
  <si>
    <t>RF Inductor Sub-GHz Match</t>
  </si>
  <si>
    <t>Murata</t>
  </si>
  <si>
    <t>LQW15AN15NG80D</t>
  </si>
  <si>
    <t>0402</t>
  </si>
  <si>
    <t>15nH; Q&gt;35 @900MHz; SRF&gt;3GHz; Isat 350mA</t>
  </si>
  <si>
    <t>-55…+125</t>
  </si>
  <si>
    <t>±2%</t>
  </si>
  <si>
    <t>Inductor – RF</t>
  </si>
  <si>
    <t>LR1120 sub-GHz port π-match; per Semtech AN E613V02A; do not substitute without re-tuning</t>
  </si>
  <si>
    <t>L2</t>
  </si>
  <si>
    <t>RF Inductor 2.4GHz Match</t>
  </si>
  <si>
    <t>LQW15AN5N6G80D</t>
  </si>
  <si>
    <t>5.6nH; Q&gt;40 @2.4GHz; SRF&gt;6GHz</t>
  </si>
  <si>
    <t>LR1120 HF port (2.4GHz) matching network shunt element</t>
  </si>
  <si>
    <t>L3</t>
  </si>
  <si>
    <t>Buck Switch Inductor</t>
  </si>
  <si>
    <t>TDK</t>
  </si>
  <si>
    <t>SPM4015T-4R7M080A2</t>
  </si>
  <si>
    <t>4.0×4.0mm SMD</t>
  </si>
  <si>
    <t>4.7µH; DCR 0.22Ω; Isat 800mA; 105°C rated</t>
  </si>
  <si>
    <t>-40…+105</t>
  </si>
  <si>
    <t>±20%</t>
  </si>
  <si>
    <t>Inductor – Power</t>
  </si>
  <si>
    <t>TPS62740 switch-node inductor; place within 1mm of SW pin</t>
  </si>
  <si>
    <t>DFE201612E-4R7M</t>
  </si>
  <si>
    <t>L4</t>
  </si>
  <si>
    <t>GNSS RF Choke</t>
  </si>
  <si>
    <t>LQW15AN3N9G80D</t>
  </si>
  <si>
    <t>3.9nH; Q&gt;30 @1.5GHz</t>
  </si>
  <si>
    <t>Series element in L89H GNSS RF path to patch antenna port</t>
  </si>
  <si>
    <t>FB1</t>
  </si>
  <si>
    <t>Ferrite Bead VDD_MCU</t>
  </si>
  <si>
    <t>MMZ1608R301AT000</t>
  </si>
  <si>
    <t>0603</t>
  </si>
  <si>
    <t>300Ω @100MHz; DCR 0.1Ω; Irated 2A</t>
  </si>
  <si>
    <t>50V DC</t>
  </si>
  <si>
    <t>±25%</t>
  </si>
  <si>
    <t>Ferrite Bead</t>
  </si>
  <si>
    <t>STM32WB digital VDD isolation from analog plane; place at VDD entry point</t>
  </si>
  <si>
    <t>BLM18AG601SN1D</t>
  </si>
  <si>
    <t>FB2</t>
  </si>
  <si>
    <t>Ferrite Bead VDD_GNSS</t>
  </si>
  <si>
    <t>MMZ1608R601AT000</t>
  </si>
  <si>
    <t>600Ω @100MHz; Irated 1.5A; DCR 0.15Ω</t>
  </si>
  <si>
    <t>L89H module VCC supply filtering; critical for GNSS sensitivity</t>
  </si>
  <si>
    <t>BLM18PG601SN1</t>
  </si>
  <si>
    <t>FB3</t>
  </si>
  <si>
    <t>Ferrite Bead VDD_RF LR1120</t>
  </si>
  <si>
    <t>600Ω @100MHz; Irated 1.5A</t>
  </si>
  <si>
    <t>LR1120 Vdd_rf supply; per Semtech datasheet §7 Layout Figure 22</t>
  </si>
  <si>
    <t>FB4</t>
  </si>
  <si>
    <t>Ferrite Bead VDD_BLE RF</t>
  </si>
  <si>
    <t>300Ω @100MHz; 2A</t>
  </si>
  <si>
    <t>STM32WB SMPS/BLE RF supply decoupling</t>
  </si>
  <si>
    <t>FB5</t>
  </si>
  <si>
    <t>Ferrite Bead USB Vbus</t>
  </si>
  <si>
    <t>BLM18PG600SN1D</t>
  </si>
  <si>
    <t>600Ω @100MHz; Irated 2A; DCR 0.08Ω</t>
  </si>
  <si>
    <t>USB VBUS entry filtering before FUSB302; EMI suppression</t>
  </si>
  <si>
    <t>FB6</t>
  </si>
  <si>
    <t>Ferrite Bead GND Split</t>
  </si>
  <si>
    <t>MMZ1608S601AT000</t>
  </si>
  <si>
    <t>600Ω @100MHz; low DCR split bead</t>
  </si>
  <si>
    <t>Analog/digital GND bridge near GNSS section; single-point GND star</t>
  </si>
  <si>
    <t xml:space="preserve">  ▶  CAPACITORS</t>
  </si>
  <si>
    <t>C1–C10</t>
  </si>
  <si>
    <t>100nF MCU Decoupling</t>
  </si>
  <si>
    <t>GRM155R71C104KA88D</t>
  </si>
  <si>
    <t>100nF; 16V; X7R; ±10%</t>
  </si>
  <si>
    <t>16V</t>
  </si>
  <si>
    <t>±10%</t>
  </si>
  <si>
    <t>Cap – MLCC</t>
  </si>
  <si>
    <t>1 per MCU VDD/VDDSMPS/VDDRF/VDDBAT pin; STM32WB55 AN4991 layout guide</t>
  </si>
  <si>
    <t>CL05B104KO5NNNC</t>
  </si>
  <si>
    <t>C11–C14</t>
  </si>
  <si>
    <t>10µF Bulk MCU</t>
  </si>
  <si>
    <t>GRM188R61A106KE69D</t>
  </si>
  <si>
    <t>10µF; 10V; X5R; ±10%</t>
  </si>
  <si>
    <t>10V</t>
  </si>
  <si>
    <t>-55…+85</t>
  </si>
  <si>
    <t>Bulk decoupling per MCU VDD domain group</t>
  </si>
  <si>
    <t>CL10A106KP8NNNC</t>
  </si>
  <si>
    <t>C15–C22</t>
  </si>
  <si>
    <t>100nF LR1120 Decoupling</t>
  </si>
  <si>
    <t>Samsung</t>
  </si>
  <si>
    <t>Per Semtech LR1120 datasheet §7 decoupling guide</t>
  </si>
  <si>
    <t>C23–C24</t>
  </si>
  <si>
    <t>10µF LR1120 VBAT Bulk</t>
  </si>
  <si>
    <t>10µF; 10V; X5R</t>
  </si>
  <si>
    <t>LR1120 VBAT bulk supply; place within 0.5mm of pin</t>
  </si>
  <si>
    <t>C25–C30</t>
  </si>
  <si>
    <t>100nF L89H Decoupling</t>
  </si>
  <si>
    <t>100nF; 16V; X7R</t>
  </si>
  <si>
    <t>L89H VCC, VBCK, VANT supply decoupling pins</t>
  </si>
  <si>
    <t>C31–C32</t>
  </si>
  <si>
    <t>10µF L89H Bulk</t>
  </si>
  <si>
    <t>L89H module bulk supply capacitors</t>
  </si>
  <si>
    <t>C33</t>
  </si>
  <si>
    <t>100µF Electrolytic GNSS Hold-up</t>
  </si>
  <si>
    <t>Panasonic</t>
  </si>
  <si>
    <t>EEE-FK1A101GP</t>
  </si>
  <si>
    <t>SMD φ6.3×5.4mm</t>
  </si>
  <si>
    <t>100µF; 10V; 105°C; ESR 0.3Ω</t>
  </si>
  <si>
    <t>Cap – Electrolytic</t>
  </si>
  <si>
    <t>L89H cold-start hold-up; prevents VBCK brownout; rated 105°C for reliability</t>
  </si>
  <si>
    <t>EEE-FK1C101P</t>
  </si>
  <si>
    <t>C34–C37</t>
  </si>
  <si>
    <t>100nF IMU Decoupling</t>
  </si>
  <si>
    <t>ISM330DLC VDD and VDDIO pins (1.71–3.6V); place within 0.3mm</t>
  </si>
  <si>
    <t>C38–C41</t>
  </si>
  <si>
    <t>100nF TPM Decoupling</t>
  </si>
  <si>
    <t>SLB9670 VCC supply decoupling; 4× as per Infineon application note</t>
  </si>
  <si>
    <t>C42–C45</t>
  </si>
  <si>
    <t>100pF RF Bypass NP0</t>
  </si>
  <si>
    <t>GRM1555C1H101JA01D</t>
  </si>
  <si>
    <t>100pF; 50V; C0G/NP0; ±5%</t>
  </si>
  <si>
    <t>50V</t>
  </si>
  <si>
    <t>±5%</t>
  </si>
  <si>
    <t>Cap – RF Bypass</t>
  </si>
  <si>
    <t>RF bypass at PA supply; SE2435L VCC and LR1120 RF supply; low-ESR NP0 mandatory</t>
  </si>
  <si>
    <t>GJM1555C1H101JB01D</t>
  </si>
  <si>
    <t>C46–C49</t>
  </si>
  <si>
    <t>10pF RF Match NP0</t>
  </si>
  <si>
    <t>GRM1555C1H100JA01D</t>
  </si>
  <si>
    <t>10pF; 50V; C0G; ±5%</t>
  </si>
  <si>
    <t>Cap – RF Match</t>
  </si>
  <si>
    <t>LR1120 sub-GHz port π-match shunt caps; retune with network analyser</t>
  </si>
  <si>
    <t>C50–C51</t>
  </si>
  <si>
    <t>12pF LSE Crystal Load</t>
  </si>
  <si>
    <t>GRM1555C1H120JA01D</t>
  </si>
  <si>
    <t>12pF; 50V; C0G; ±5%</t>
  </si>
  <si>
    <t>Cap – Crystal</t>
  </si>
  <si>
    <t>32.768kHz LSE X2 load caps; CL=7pF → Cload=(C50×C51)/(C50+C51)+Cstray</t>
  </si>
  <si>
    <t>C52–C53</t>
  </si>
  <si>
    <t>47µF System Bulk</t>
  </si>
  <si>
    <t>EEE-FK1A470GP</t>
  </si>
  <si>
    <t>SMD φ8×6.2mm</t>
  </si>
  <si>
    <t>47µF; 10V; 105°C; ESR 0.15Ω</t>
  </si>
  <si>
    <t>Main 3.3V bus hold-up and bulk transient response</t>
  </si>
  <si>
    <t>EEE-FK1C470P</t>
  </si>
  <si>
    <t>C54–C57</t>
  </si>
  <si>
    <t>1µF LDO Stability</t>
  </si>
  <si>
    <t>GRM188R61A105KA61D</t>
  </si>
  <si>
    <t>1µF; 10V; X5R; ±10%</t>
  </si>
  <si>
    <t>LP5907 LDO Cin(×2) and Cout(×2) per datasheet; ESR 10–200mΩ range required</t>
  </si>
  <si>
    <t>CL10A105KB8NNNC</t>
  </si>
  <si>
    <t>C58–C59</t>
  </si>
  <si>
    <t>4.7µF Buck Cin/Cout</t>
  </si>
  <si>
    <t>CL10A475KO8NNNC</t>
  </si>
  <si>
    <t>4.7µF; 10V; X5R; ±10%</t>
  </si>
  <si>
    <t>TPS62740 Cin(×2) + Cout(×2); X5R adequate for power supply; 10V rating for 3.7V Vbat in</t>
  </si>
  <si>
    <t>GRM188R61A475KE15D</t>
  </si>
  <si>
    <t>C60–C61</t>
  </si>
  <si>
    <t>100nF Charger Decoupling</t>
  </si>
  <si>
    <t>BQ25892 and FUSB302 supply decoupling pins</t>
  </si>
  <si>
    <t>C62</t>
  </si>
  <si>
    <t>10µF Charger VBUS Bulk</t>
  </si>
  <si>
    <t>GRM21BR61C106KE15L</t>
  </si>
  <si>
    <t>0805</t>
  </si>
  <si>
    <t>10µF; 16V; X5R; ±10%</t>
  </si>
  <si>
    <t>VBUS input bulk; 16V rating for 15V adapter surge margin; BQ25892 VBUS pin</t>
  </si>
  <si>
    <t>CL21A106KPFNNNE</t>
  </si>
  <si>
    <t xml:space="preserve">  ▶  RESISTORS</t>
  </si>
  <si>
    <t>R1–R8</t>
  </si>
  <si>
    <t>10kΩ Pull-up</t>
  </si>
  <si>
    <t>Yageo</t>
  </si>
  <si>
    <t>RC0402FR-0710KL</t>
  </si>
  <si>
    <t>10kΩ; ±1%; 62.5mW</t>
  </si>
  <si>
    <t>-55…+155</t>
  </si>
  <si>
    <t>±1%</t>
  </si>
  <si>
    <t>Resistor</t>
  </si>
  <si>
    <t>I2C SDA/SCL, BOOT0, NRST, INT lines; 3.3V rail; If=330µA per line</t>
  </si>
  <si>
    <t>CRCW040210K0FKED</t>
  </si>
  <si>
    <t>R9–R12</t>
  </si>
  <si>
    <t>100kΩ Pull-down</t>
  </si>
  <si>
    <t>RC0402FR-07100KL</t>
  </si>
  <si>
    <t>100kΩ; ±1%; 62.5mW</t>
  </si>
  <si>
    <t>LR1120 BUSY, TPM RST hold-down, L89H unused pins</t>
  </si>
  <si>
    <t>CRCW0402100KFKED</t>
  </si>
  <si>
    <t>R13–R21</t>
  </si>
  <si>
    <t>330Ω LED Series Resistor</t>
  </si>
  <si>
    <t>RC0402FR-07330RL</t>
  </si>
  <si>
    <t>330Ω; ±1%; 62.5mW</t>
  </si>
  <si>
    <t>9× for RGB1(3), GNSS-G(1), CommR(1), CommG(1), RSSI-RGB(3); If=(3.3-Vf)/330Ω≈6–8mA</t>
  </si>
  <si>
    <t>CRCW0402330RFKED</t>
  </si>
  <si>
    <t>R22–R25</t>
  </si>
  <si>
    <t>33Ω SPI/UART Series Term</t>
  </si>
  <si>
    <t>RC0402FR-0733RL</t>
  </si>
  <si>
    <t>33Ω; ±1%; 62.5mW</t>
  </si>
  <si>
    <t>Signal integrity on LR1120 SPI, TPM SPI, L89H UART; suppress ringing</t>
  </si>
  <si>
    <t>CRCW040233R0FKED</t>
  </si>
  <si>
    <t>R26–R27</t>
  </si>
  <si>
    <t>10kΩ Debounce / Pull-up SW1</t>
  </si>
  <si>
    <t>Single IP67 button SW1 pull-up + RC debounce network; long-press 6s = on/off</t>
  </si>
  <si>
    <t>R28</t>
  </si>
  <si>
    <t>1kΩ SW1 RC Debounce Series</t>
  </si>
  <si>
    <t>RC0402FR-071KL</t>
  </si>
  <si>
    <t>1kΩ; ±1%; 62.5mW</t>
  </si>
  <si>
    <t>With C_debounce (100nF) τ=100µs; EXTI detects edge after debounce</t>
  </si>
  <si>
    <t>CRCW04021K00FKED</t>
  </si>
  <si>
    <t>R29–R30</t>
  </si>
  <si>
    <t>4.7kΩ I2C Pull-up</t>
  </si>
  <si>
    <t>RC0402FR-074K7L</t>
  </si>
  <si>
    <t>4.7kΩ; ±1%; 62.5mW</t>
  </si>
  <si>
    <t>I2C1 bus (BQ27427+ISM330DLC+BQ25892+FUSB302) pull-ups; 400kHz FM+ capable</t>
  </si>
  <si>
    <t>CRCW04024K70FKED</t>
  </si>
  <si>
    <t>R31</t>
  </si>
  <si>
    <t>10kΩ NTC Thermistor</t>
  </si>
  <si>
    <t>NCP15XH103F03RC</t>
  </si>
  <si>
    <t>10kΩ @25°C; NTC; B=3380K; ±1%</t>
  </si>
  <si>
    <t>-40…+125</t>
  </si>
  <si>
    <t>Thermistor</t>
  </si>
  <si>
    <t>Battery temperature sense input to BQ25892 TS pin; suspend charge if T&gt;45°C or &lt;0°C</t>
  </si>
  <si>
    <t>SDNT0402X103J3450FTF</t>
  </si>
  <si>
    <t>R32–R33</t>
  </si>
  <si>
    <t>Vbatt Divider (1MΩ + 470kΩ)</t>
  </si>
  <si>
    <t>RC0402FR-071ML / RC0402FR-07470KL</t>
  </si>
  <si>
    <t>1MΩ / 470kΩ; ±1%; 62.5mW</t>
  </si>
  <si>
    <t>Vbatt → ADC; ratio: Vadc=Vbat×470/(1000+470); max 4.2V→1.34V&lt;3.3V Vadc_max</t>
  </si>
  <si>
    <t>CRCW04021M00FKED</t>
  </si>
  <si>
    <t>R34</t>
  </si>
  <si>
    <t>0Ω Solder Bridge</t>
  </si>
  <si>
    <t>RC0402FR-070RL</t>
  </si>
  <si>
    <t>0Ω jumper; 1A max</t>
  </si>
  <si>
    <t>Configuration options: BOOT0 select, debug route, optional BLE antenna path</t>
  </si>
  <si>
    <t>R35</t>
  </si>
  <si>
    <t>33Ω TCXO Clock Buffer</t>
  </si>
  <si>
    <t>FIX1: Series R on TCXO output fan-out to LR1120 and STM32WB HSE_IN; isolates capacitive loads</t>
  </si>
  <si>
    <t>R36</t>
  </si>
  <si>
    <t>100Ω RF Termination</t>
  </si>
  <si>
    <t>RC0402FR-07100RL</t>
  </si>
  <si>
    <t>100Ω; ±1%; 125mW</t>
  </si>
  <si>
    <t>Unused RF switch port termination; prevents re-radiation</t>
  </si>
  <si>
    <t>CRCW0402100RFKED</t>
  </si>
  <si>
    <t xml:space="preserve">  ▶  CRYSTALS (FIX 1: Only LSE Remains)</t>
  </si>
  <si>
    <t>32.768kHz LSE RTC Crystal</t>
  </si>
  <si>
    <t>32.768kHz; ±20ppm; CL=7pF; ESR&lt;50kΩ; -40…+85°C</t>
  </si>
  <si>
    <t>Crystal</t>
  </si>
  <si>
    <t>RTC slow clock; CANNOT be replaced by TCXO (different frequency range). X1(32MHz) REMOVED — use TCXO</t>
  </si>
  <si>
    <t xml:space="preserve">  ▶  CONNECTORS &amp; SWITCHES (FIX 3: Single Button)</t>
  </si>
  <si>
    <t>SW1</t>
  </si>
  <si>
    <t>IP67 Push Button (SINGLE — dual-function)</t>
  </si>
  <si>
    <t>E-Switch</t>
  </si>
  <si>
    <t>PB82G31BBLK03</t>
  </si>
  <si>
    <t>8×8mm SMD Body</t>
  </si>
  <si>
    <t>IP67; 50mA; 12VDC; 260gf; -40…+85°C</t>
  </si>
  <si>
    <t>12V</t>
  </si>
  <si>
    <t>Switch</t>
  </si>
  <si>
    <t>FIX3: Single button — Firmware: Long press 6s = power ON/OFF; Double press = SOS alert. SW2 REMOVED (BOM reduction)</t>
  </si>
  <si>
    <t>FSM4JSMATR</t>
  </si>
  <si>
    <t>J1</t>
  </si>
  <si>
    <t>USB-C Receptacle</t>
  </si>
  <si>
    <t>Korean Hroparts</t>
  </si>
  <si>
    <t>TYPE-C-31-M-12</t>
  </si>
  <si>
    <t>SMD Vertical USB-C</t>
  </si>
  <si>
    <t>USB 2.0; CC1/CC2 to FUSB302; 5A rated contacts</t>
  </si>
  <si>
    <t>20V (contacts)</t>
  </si>
  <si>
    <t>Connector</t>
  </si>
  <si>
    <t>Power input (5–20V from PD adapter) + debug UART-over-USB optional; IP-protected via internal gasket</t>
  </si>
  <si>
    <t>USB4135-GF-A</t>
  </si>
  <si>
    <t>J2</t>
  </si>
  <si>
    <t>Battery Connector JST-PH</t>
  </si>
  <si>
    <t>JST</t>
  </si>
  <si>
    <t>S2B-PH-K-S(LF)(SN)</t>
  </si>
  <si>
    <t>2-pin PH 2.0mm</t>
  </si>
  <si>
    <t>2-pin; 2.0mm pitch; 2A; SMT</t>
  </si>
  <si>
    <t>Li-Po battery + and -; ensure polarity match; F1 polyfuse on positive rail</t>
  </si>
  <si>
    <t>2510WV-02</t>
  </si>
  <si>
    <t>J3</t>
  </si>
  <si>
    <t>SWD+UART Debug Header</t>
  </si>
  <si>
    <t>Samtec</t>
  </si>
  <si>
    <t>FTSH-105-01-F-DV</t>
  </si>
  <si>
    <t>10-pin 1.27mm</t>
  </si>
  <si>
    <t>SWDIO/SWDCLK/SWO/UART_TX/RX/3.3V/GND; 1A</t>
  </si>
  <si>
    <t>3.3V on VDD</t>
  </si>
  <si>
    <t>STM32WB programming / OpenOCD / ST-Link v3; can be removed in production PCB</t>
  </si>
  <si>
    <t>FTSH-105-01-L-DV</t>
  </si>
  <si>
    <t>J4</t>
  </si>
  <si>
    <t>u.FL LoRa/LR-FHSS Antenna</t>
  </si>
  <si>
    <t>Hirose</t>
  </si>
  <si>
    <t>U.FL-R-SMT-1(10)</t>
  </si>
  <si>
    <t>u.FL SMT</t>
  </si>
  <si>
    <t>50Ω; 6GHz rated; 500 cycles</t>
  </si>
  <si>
    <t>50Ω RF</t>
  </si>
  <si>
    <t>Connector – RF</t>
  </si>
  <si>
    <t>LR1120 sub-GHz TX/RX via SE2435L FEM and SKY13585 switch; pigtail to helical antenna</t>
  </si>
  <si>
    <t>MUFL040T10E</t>
  </si>
  <si>
    <t>J5</t>
  </si>
  <si>
    <t>u.FL GNSS Antenna</t>
  </si>
  <si>
    <t>50Ω; 6GHz</t>
  </si>
  <si>
    <t>Quectel L89H active GNSS antenna; NavIC patch or helical</t>
  </si>
  <si>
    <t>J6</t>
  </si>
  <si>
    <t>Grove I2C Expansion</t>
  </si>
  <si>
    <t>Seeed</t>
  </si>
  <si>
    <t>110990036</t>
  </si>
  <si>
    <t>4-pin 2.0mm SMT</t>
  </si>
  <si>
    <t>I2C; 3.3V; 100mA; IP30</t>
  </si>
  <si>
    <t>3.3V</t>
  </si>
  <si>
    <t>-20…+70</t>
  </si>
  <si>
    <t>Optional external I2C sensor expansion; disable bus when not in use</t>
  </si>
  <si>
    <t>DF13-4P-1.25V</t>
  </si>
  <si>
    <t xml:space="preserve">  ▶  LEDs — 4-LED INDICATOR SYSTEM (FIX 7)</t>
  </si>
  <si>
    <t>D1</t>
  </si>
  <si>
    <t>RGB LED — Battery SOC Indicator</t>
  </si>
  <si>
    <t>Würth Elektronik</t>
  </si>
  <si>
    <t>150141M173100</t>
  </si>
  <si>
    <t>0606 SMD RGB</t>
  </si>
  <si>
    <t>R/G/B; Vf 2.0/2.1/3.2V; 20mA max; Iv 30mcd @10mA; CC</t>
  </si>
  <si>
    <t>LED – RGB</t>
  </si>
  <si>
    <t>SOC indicator: G=100%, B=75%, R+G=50%, R=25%, Blink-R=5% (see LED Pattern sheet). 10% PWM for solid states (power saving)</t>
  </si>
  <si>
    <t>LTST-C19HE1WT</t>
  </si>
  <si>
    <t>D2</t>
  </si>
  <si>
    <t>Green LED — NavIC/GNSS Fix</t>
  </si>
  <si>
    <t>Lite-On</t>
  </si>
  <si>
    <t>LTST-C191KGKT</t>
  </si>
  <si>
    <t>0603 SMD</t>
  </si>
  <si>
    <t>Green 525nm; Vf 2.1V; 20mA; 100mcd @20mA</t>
  </si>
  <si>
    <t>LED – Green</t>
  </si>
  <si>
    <t>Solid=fix acquired, Slow blink(1s/2s)=searching, OFF=backup mode. 10% PWM duty cycle</t>
  </si>
  <si>
    <t>APT1608CGCK</t>
  </si>
  <si>
    <t>D3-R</t>
  </si>
  <si>
    <t>Red LED — LoRa/LR-FHSS Comm (R)</t>
  </si>
  <si>
    <t>LTST-C191KRKT</t>
  </si>
  <si>
    <t>Red 625nm; Vf 2.0V; 20mA; 130mcd @20mA</t>
  </si>
  <si>
    <t>LED – Red</t>
  </si>
  <si>
    <t>LR-FHSS TX flash (100ms pulse). Shares MCU pin with D3-G via firmware control</t>
  </si>
  <si>
    <t>APT1608SURCK</t>
  </si>
  <si>
    <t>D3-G</t>
  </si>
  <si>
    <t>Green LED — LoRa/LR-FHSS Comm (G)</t>
  </si>
  <si>
    <t>LoRaWAN TX flash (100ms pulse, green). R+G alternate for RX window. See LED Pattern sheet</t>
  </si>
  <si>
    <t>D4</t>
  </si>
  <si>
    <t>RGB LED — Signal Strength RSSI</t>
  </si>
  <si>
    <t>R/G/B; CC; same as D1</t>
  </si>
  <si>
    <t>RSSI indicator: G=≥-80dBm, B=-80to-100dBm, Y(R+G)=-100to-120dBm, R=&lt;-120dBm, Blink-R=no signal. 10% PWM</t>
  </si>
  <si>
    <t xml:space="preserve">  ▶  PROTECTION &amp; MISC</t>
  </si>
  <si>
    <t>TVS1</t>
  </si>
  <si>
    <t>TVS ESD Array USB</t>
  </si>
  <si>
    <t>Littelfuse</t>
  </si>
  <si>
    <t>SP0503BAHTG</t>
  </si>
  <si>
    <t>SOT-363</t>
  </si>
  <si>
    <t>5V clamp; 0.5pF; 3-line; USB rated</t>
  </si>
  <si>
    <t>5V clamp</t>
  </si>
  <si>
    <t>-55…+150</t>
  </si>
  <si>
    <t>ESD</t>
  </si>
  <si>
    <t>USB D+/D− and VBUS ESD protection; Cj&lt;0.5pF to preserve USB signal integrity</t>
  </si>
  <si>
    <t>PRTR5V0U2X</t>
  </si>
  <si>
    <t>TVS2</t>
  </si>
  <si>
    <t>TVS ESD SPI Lines</t>
  </si>
  <si>
    <t>Vishay</t>
  </si>
  <si>
    <t>PRTR5V0U2X215</t>
  </si>
  <si>
    <t>5V clamp; 2-line; 0.4pF</t>
  </si>
  <si>
    <t>SPI MOSI/MISO/CLK to LR1120 and TPM; prevents latch-up</t>
  </si>
  <si>
    <t>SP0502BAHTG</t>
  </si>
  <si>
    <t>D5-D6</t>
  </si>
  <si>
    <t>Schottky Diode Reverse/OR-ing</t>
  </si>
  <si>
    <t>BAT54S-E3-08</t>
  </si>
  <si>
    <t>SOT-23</t>
  </si>
  <si>
    <t>30V; 200mA; Vf 0.3V @1mA</t>
  </si>
  <si>
    <t>30V</t>
  </si>
  <si>
    <t>-65…+125</t>
  </si>
  <si>
    <t>Diode</t>
  </si>
  <si>
    <t>Battery reverse protection + USB/Battery power OR-ing diode pair</t>
  </si>
  <si>
    <t>BAT54WSFILM</t>
  </si>
  <si>
    <t>F1</t>
  </si>
  <si>
    <t>Polyfuse 500mA</t>
  </si>
  <si>
    <t>Bourns</t>
  </si>
  <si>
    <t>MF-MSMF050-2</t>
  </si>
  <si>
    <t>1812 SMD</t>
  </si>
  <si>
    <t>Hold 500mA; Trip 1A; 6V; self-resetting</t>
  </si>
  <si>
    <t>6V</t>
  </si>
  <si>
    <t>Fuse</t>
  </si>
  <si>
    <t>Battery output overcurrent protection; resets after fault cleared</t>
  </si>
  <si>
    <t>0ZCF0050AF2C</t>
  </si>
  <si>
    <t>TOTAL BOM — Single Unit</t>
  </si>
  <si>
    <t>POWER BUDGET &amp; BATTERY LIFE — CLASS B LoRaWAN / LR-FHSS</t>
  </si>
  <si>
    <t>Operation: 2 uplinks/day @ 12h interval | LR-FHSS 27dBm | Class B | ASCON+AES encrypt | TPM signing | IMU interrupt | SOS button | Target: 1 Year on ≤3500mAh</t>
  </si>
  <si>
    <t xml:space="preserve">  ▶  A  SYSTEM &amp; BATTERY ASSUMPTIONS</t>
  </si>
  <si>
    <t>Parameter</t>
  </si>
  <si>
    <t>Value</t>
  </si>
  <si>
    <t>Unit</t>
  </si>
  <si>
    <t>Battery Capacity</t>
  </si>
  <si>
    <t>mAh</t>
  </si>
  <si>
    <t>Nominal selected; range 2500–3500 studied in Section E</t>
  </si>
  <si>
    <t>Battery Nominal Voltage</t>
  </si>
  <si>
    <t>V</t>
  </si>
  <si>
    <t>Single-cell Li-Po</t>
  </si>
  <si>
    <t>Buck Regulator Efficiency (TPS62740)</t>
  </si>
  <si>
    <t>%</t>
  </si>
  <si>
    <t>At typical IoT current; PFM mode &lt;10mA</t>
  </si>
  <si>
    <t>Battery Usable Depth of Discharge</t>
  </si>
  <si>
    <t>factor</t>
  </si>
  <si>
    <t>80% DoD + 5% aging margin</t>
  </si>
  <si>
    <t>Self-Discharge</t>
  </si>
  <si>
    <t>% per month</t>
  </si>
  <si>
    <t>Li-Po typical; negligible vs. operational drain</t>
  </si>
  <si>
    <t>System Voltage (regulated)</t>
  </si>
  <si>
    <t>All peripherals operate at 3.3V rail</t>
  </si>
  <si>
    <t>TCXO Frequency Stability</t>
  </si>
  <si>
    <t>ppm</t>
  </si>
  <si>
    <t>7Q-32MHz; determines Class B beacon sync interval</t>
  </si>
  <si>
    <t>Class B Beacon Period</t>
  </si>
  <si>
    <t>seconds</t>
  </si>
  <si>
    <t>LoRaWAN fixed beacon period</t>
  </si>
  <si>
    <t>Class B Ping Periodicity (N)</t>
  </si>
  <si>
    <t>Ping interval = 2^N × 128s = 1024s (17.1 min/slot)</t>
  </si>
  <si>
    <t>Uplinks Per Day</t>
  </si>
  <si>
    <t>One at T=0h, one at T=12h; LR-FHSS Class B UL</t>
  </si>
  <si>
    <t>LR-FHSS TX Duration (2.1s approx)</t>
  </si>
  <si>
    <t>H=3 headers, Nf=12 frags; T_ToA formula</t>
  </si>
  <si>
    <t>ASCON-128 Encrypt Time on STM32WB55</t>
  </si>
  <si>
    <t>ms</t>
  </si>
  <si>
    <t>Software ASCON @ 64MHz; ~50ms for 50-byte payload</t>
  </si>
  <si>
    <t>TPM Signing Latency (SLB9670)</t>
  </si>
  <si>
    <t>ECC P-256 sign operation over SPI; I2C ~120ms</t>
  </si>
  <si>
    <t>SE2435L PA Current @27dBm</t>
  </si>
  <si>
    <t>mA</t>
  </si>
  <si>
    <t>Supplemental PA drain ON TOP of LR1120 TX</t>
  </si>
  <si>
    <t>LR1120 TX Current @22dBm (internal PA)</t>
  </si>
  <si>
    <t>Before external PA; datasheet typ</t>
  </si>
  <si>
    <t>Total TX Current @27dBm (PA+LR1120)</t>
  </si>
  <si>
    <t>B14+B15; SE2435L+LR1120 combined at 27dBm</t>
  </si>
  <si>
    <t>LR1120 RX Current</t>
  </si>
  <si>
    <t>Active RX mode; per datasheet</t>
  </si>
  <si>
    <t>LR1120 Sleep Current</t>
  </si>
  <si>
    <t>µA</t>
  </si>
  <si>
    <t>Deep sleep; typ per datasheet</t>
  </si>
  <si>
    <t>STM32WB55 Stop2 with RTC</t>
  </si>
  <si>
    <t>SRAM retained, RTC active; Stop2 mode</t>
  </si>
  <si>
    <t>ISM330DLC LP Accel-only mode</t>
  </si>
  <si>
    <t>52Hz; INT1 sharp-accel wakeup always enabled</t>
  </si>
  <si>
    <t>L89H GNSS Backup mode</t>
  </si>
  <si>
    <t>RTC running; ready for hot start; min supply</t>
  </si>
  <si>
    <t>BQ27427 FG Sleep</t>
  </si>
  <si>
    <t>Continuous coulomb counting; very low Iq</t>
  </si>
  <si>
    <t>SLB9670 TPM Deep Sleep</t>
  </si>
  <si>
    <t>TPM2 low-power state between transactions</t>
  </si>
  <si>
    <t>TPS62740 Buck Iq (PFM)</t>
  </si>
  <si>
    <t>Quiescent at &lt;1mA load in PFM mode</t>
  </si>
  <si>
    <t>RF Switch SKY13585 Idle</t>
  </si>
  <si>
    <t>Standby leakage; CMOS control in tristate</t>
  </si>
  <si>
    <t>Pull-ups + PCB leakage</t>
  </si>
  <si>
    <t>Estimated system-wide passive leakage</t>
  </si>
  <si>
    <t>Safety Derating on Total Annual</t>
  </si>
  <si>
    <t>10% design margin on calculated energy</t>
  </si>
  <si>
    <t>EFFECTIVE USABLE CAPACITY (mAh)</t>
  </si>
  <si>
    <t>After buck efficiency + DoD derate; used in all runtime calculations</t>
  </si>
  <si>
    <t xml:space="preserve">  ▶  B  CLASS B BEACON SYNC INTERVAL (TCXO-Assisted)</t>
  </si>
  <si>
    <t>TCXO stability (ppm)</t>
  </si>
  <si>
    <t>Determines how often device must receive beacon to maintain Class B timing</t>
  </si>
  <si>
    <t>Drift per beacon period (µs)</t>
  </si>
  <si>
    <t>µs</t>
  </si>
  <si>
    <t>drift_per_period = ppm × T_beacon</t>
  </si>
  <si>
    <t>Ping slot window budget (µs)</t>
  </si>
  <si>
    <t>Allowable timing error before ping slot miss (5ms window / 2 guard)</t>
  </si>
  <si>
    <t>Beacon periods before resync needed</t>
  </si>
  <si>
    <t>beacon periods</t>
  </si>
  <si>
    <t>TCXO allows very infrequent beacon reception vs. XTAL devices</t>
  </si>
  <si>
    <t>Required beacon sync interval (hours)</t>
  </si>
  <si>
    <t>hours</t>
  </si>
  <si>
    <t>Device only needs beacon RX this often; massive power saving vs. every 128s</t>
  </si>
  <si>
    <t xml:space="preserve">  ▶  C  PER-EVENT ENERGY CONSUMPTION (µAh per event)</t>
  </si>
  <si>
    <t>Event / Mode</t>
  </si>
  <si>
    <t>Current (mA)</t>
  </si>
  <si>
    <t>Duration (s)</t>
  </si>
  <si>
    <t>Qty/Day</t>
  </si>
  <si>
    <t>µAh per event</t>
  </si>
  <si>
    <t>µAh per day</t>
  </si>
  <si>
    <t>Notes</t>
  </si>
  <si>
    <t>STM32WB wakeup + clock init</t>
  </si>
  <si>
    <t>General wakeup overhead; occurs before every active mode</t>
  </si>
  <si>
    <t>ASCON-128 encrypt (MCU active)</t>
  </si>
  <si>
    <t>Encrypt payload before TPM signing; 64MHz; per TX</t>
  </si>
  <si>
    <t>TPM ECC P-256 sign (SLB9670 + MCU)</t>
  </si>
  <si>
    <t>SPI comms + TPM processing; 15mA MCU + 5mA SPI + 15mA TPM active</t>
  </si>
  <si>
    <t>LR1120 init + calibrate</t>
  </si>
  <si>
    <t>LR1120 wake from sleep + PLL lock; per TX</t>
  </si>
  <si>
    <t>SE2435L + LR1120 LR-FHSS TX @27dBm</t>
  </si>
  <si>
    <t>Main TX event; PA+LR1120+RFswitch total; 2.1s per LR-FHSS frame</t>
  </si>
  <si>
    <t>RF Switch SKY13585 TX active</t>
  </si>
  <si>
    <t>CMOS switch ICC during TX; control current from LR1120 DIO</t>
  </si>
  <si>
    <t>RX1 window (1s guard + 200ms RX)</t>
  </si>
  <si>
    <t>After each UL; 1s wait + 200ms RX window Class B</t>
  </si>
  <si>
    <t>RX2 window (1s guard + 200ms RX)</t>
  </si>
  <si>
    <t>Fallback RX2; same duration as RX1</t>
  </si>
  <si>
    <t>MCU active RX processing + re-sleep</t>
  </si>
  <si>
    <t>Parse downlink / ACK; return to Stop2</t>
  </si>
  <si>
    <t>Class B beacon RX (TCXO-assisted)</t>
  </si>
  <si>
    <t>LR1120+MCU beacon receive; TCXO sync interval; 2.12s beacon frame</t>
  </si>
  <si>
    <t>Class B ping slot open (periodicity 3)</t>
  </si>
  <si>
    <t>Short RX window for server-initiated downlink; low power due to short window</t>
  </si>
  <si>
    <t>GNSS hot start fix (daily)</t>
  </si>
  <si>
    <t>L89H NavIC hot start; 45s avg; 1 fix per day</t>
  </si>
  <si>
    <t>LED status blink (all 4 LEDs, 10% PWM)</t>
  </si>
  <si>
    <t>3s display on state change (8x/day); 7mA × 10% PWM = 0.7mA</t>
  </si>
  <si>
    <t>SOS button interrupt + TX (if pressed)</t>
  </si>
  <si>
    <t>Emergency SOS; double press SW1; rare; budgeted 0/day</t>
  </si>
  <si>
    <t>Fuel gauge I2C poll (BQ27427)</t>
  </si>
  <si>
    <t>Hourly FG read; 5ms I2C transaction; very low energy</t>
  </si>
  <si>
    <t>Deep sleep (remaining 24h after active events)</t>
  </si>
  <si>
    <t>All sleep-state devices: STM32WB Stop2 + LR1120 sleep + IMU LP + L89H backup + FG + TPM + leakage</t>
  </si>
  <si>
    <t xml:space="preserve">  ▶  TOTAL DAILY ENERGY CONSUMPTION</t>
  </si>
  <si>
    <t>Total Active Events (µAh/day)</t>
  </si>
  <si>
    <t>µAh</t>
  </si>
  <si>
    <t>Sleep Energy (µAh/day)</t>
  </si>
  <si>
    <t>GROSS TOTAL (µAh/day)</t>
  </si>
  <si>
    <t>µAh/day total (gross)</t>
  </si>
  <si>
    <t>DAILY mAh CONSUMPTION</t>
  </si>
  <si>
    <t>mAh/day — this is the key operational number</t>
  </si>
  <si>
    <t xml:space="preserve">  ▶  D  ANNUAL CONSUMPTION &amp; 1-YEAR BATTERY SIZING</t>
  </si>
  <si>
    <t>Battery (mAh)</t>
  </si>
  <si>
    <t>Usable Cap (mAh)</t>
  </si>
  <si>
    <t>Daily (mAh)</t>
  </si>
  <si>
    <t>Annual Need (mAh)</t>
  </si>
  <si>
    <t>Runtime (days)</t>
  </si>
  <si>
    <t>Runtime (years)</t>
  </si>
  <si>
    <t>1-Year Pass?</t>
  </si>
  <si>
    <t>Recommendation</t>
  </si>
  <si>
    <t xml:space="preserve">  ▶  E  BATTERY RECOMMENDATION SUMMARY</t>
  </si>
  <si>
    <t>Minimum for 1-year (calculated)</t>
  </si>
  <si>
    <t>Absolute minimum; no margin for environmental extremes</t>
  </si>
  <si>
    <t>RECOMMENDED CHOICE</t>
  </si>
  <si>
    <t>3000mAh (60×40×4.8mm) → 3+ years runtime; fits 70×90mm form factor; 3C QC4+ charge rate OK</t>
  </si>
  <si>
    <t>Maximum (constraint)</t>
  </si>
  <si>
    <t>Upper limit per user spec; gives ≈3.5 years; use if longer operation required</t>
  </si>
  <si>
    <t>Average current (mA)</t>
  </si>
  <si>
    <t>Time-weighted average; useful for checking against LDO/regulator specs</t>
  </si>
  <si>
    <t>MECHANICAL DESIGN &amp; WEIGHT ANALYSIS — v2</t>
  </si>
  <si>
    <t>Target: 70 × 90 × 12 mm  |  Net Weight &lt; 140 g  |  IP67  |  4-Layer FR4</t>
  </si>
  <si>
    <t xml:space="preserve">  ▶  A  ENCLOSURE &amp; PCB DIMENSIONS</t>
  </si>
  <si>
    <t>External Length (X)</t>
  </si>
  <si>
    <t>mm</t>
  </si>
  <si>
    <t>User specified target</t>
  </si>
  <si>
    <t>External Width (Y)</t>
  </si>
  <si>
    <t>External Height (Z / Thickness)</t>
  </si>
  <si>
    <t>Total assembled height</t>
  </si>
  <si>
    <t>Enclosure Wall Thickness</t>
  </si>
  <si>
    <t>ABS IP67; min 1.5mm for rigidity</t>
  </si>
  <si>
    <t>PCB Length</t>
  </si>
  <si>
    <t>X minus 2× wall; usable PCB area</t>
  </si>
  <si>
    <t>PCB Width</t>
  </si>
  <si>
    <t>Y minus 2× wall; usable PCB area</t>
  </si>
  <si>
    <t>PCB Thickness</t>
  </si>
  <si>
    <t>Standard FR4 4-layer</t>
  </si>
  <si>
    <t>Tallest Component (L89H)</t>
  </si>
  <si>
    <t>L89H LCC module max height above PCB</t>
  </si>
  <si>
    <t>Bottom SMD max height</t>
  </si>
  <si>
    <t>Bottom-side components</t>
  </si>
  <si>
    <t>Battery Height</t>
  </si>
  <si>
    <t>3000mAh LiPo approx; check selected cell</t>
  </si>
  <si>
    <t>Battery Length</t>
  </si>
  <si>
    <t>Typical 3000mAh cell</t>
  </si>
  <si>
    <t>Battery Width</t>
  </si>
  <si>
    <t>PCB-Battery Gap (foam pad)</t>
  </si>
  <si>
    <t>EVA foam pad for vibration isolation</t>
  </si>
  <si>
    <t>IP67 O-ring groove depth</t>
  </si>
  <si>
    <t>Compressed silicone seal height</t>
  </si>
  <si>
    <t>Internal usable height</t>
  </si>
  <si>
    <t>Internal envelope height</t>
  </si>
  <si>
    <t>Stack: PCB + top SMD + gap + batt</t>
  </si>
  <si>
    <t>MUST be ≤ internal height</t>
  </si>
  <si>
    <t>STACK FIT CHECK</t>
  </si>
  <si>
    <t>Critical dimension check</t>
  </si>
  <si>
    <t>Corner radius external</t>
  </si>
  <si>
    <t>Ergonomic; injection mould standard</t>
  </si>
  <si>
    <t>Mounting screw clearance (M3)</t>
  </si>
  <si>
    <t>Brass M3 insert; 4 corners</t>
  </si>
  <si>
    <t xml:space="preserve">  ▶  B  COMPONENT WEIGHT BREAKDOWN</t>
  </si>
  <si>
    <t>Component</t>
  </si>
  <si>
    <t>Unit Wt (g)</t>
  </si>
  <si>
    <t>Subtotal (g)</t>
  </si>
  <si>
    <t>Material</t>
  </si>
  <si>
    <t>Dimensions</t>
  </si>
  <si>
    <t>PCB Substrate (FR4 4L)</t>
  </si>
  <si>
    <t>FR4 Lam+Cu</t>
  </si>
  <si>
    <t>87×67×1.6mm</t>
  </si>
  <si>
    <t>PCB</t>
  </si>
  <si>
    <t>4-layer; includes Cu weight estimate; Ref dim: PCB6×PCB7×PCB8 (/1000→cm³)×1.85g/cm³</t>
  </si>
  <si>
    <t>STM32WB55CGU6 SoC</t>
  </si>
  <si>
    <t>Silicon/Epoxy</t>
  </si>
  <si>
    <t>7×7×0.85mm QFN-48</t>
  </si>
  <si>
    <t>IC</t>
  </si>
  <si>
    <t>Main MCU+BLE</t>
  </si>
  <si>
    <t>Semtech LR1120</t>
  </si>
  <si>
    <t>5×5×0.85mm QFN-32</t>
  </si>
  <si>
    <t>LoRa Edge transceiver</t>
  </si>
  <si>
    <t>Quectel L89H GNSS</t>
  </si>
  <si>
    <t>Module+Shield</t>
  </si>
  <si>
    <t>17×15×2.4mm LCC</t>
  </si>
  <si>
    <t>Includes metal RF shield</t>
  </si>
  <si>
    <t>ISM330DLC IMU</t>
  </si>
  <si>
    <t>2.5×3×0.83mm LGA</t>
  </si>
  <si>
    <t>6-DOF sensor</t>
  </si>
  <si>
    <t>SE2435L PA FEM</t>
  </si>
  <si>
    <t>3×3×0.85mm QFN</t>
  </si>
  <si>
    <t>27dBm PA+1.2dB LNA</t>
  </si>
  <si>
    <t>SKY13585 RF Switch</t>
  </si>
  <si>
    <t>Silicon SOT-26</t>
  </si>
  <si>
    <t>2.9×1.6×1.1mm</t>
  </si>
  <si>
    <t>SPDT RF switch</t>
  </si>
  <si>
    <t>SLB9670 TPM 2.0</t>
  </si>
  <si>
    <t>6×6×0.85mm QFN</t>
  </si>
  <si>
    <t>Security chip</t>
  </si>
  <si>
    <t>TPS62740 Buck + LP5907 LDO</t>
  </si>
  <si>
    <t>Silicon WSON</t>
  </si>
  <si>
    <t>2×2mm each</t>
  </si>
  <si>
    <t>2× regulators combined</t>
  </si>
  <si>
    <t>BQ25892 Fast Charger</t>
  </si>
  <si>
    <t>Silicon WQFN</t>
  </si>
  <si>
    <t>3.5×4mm</t>
  </si>
  <si>
    <t>QC4+ 33W charger</t>
  </si>
  <si>
    <t>FUSB302 PD Controller</t>
  </si>
  <si>
    <t>Silicon QFN</t>
  </si>
  <si>
    <t>3×3mm</t>
  </si>
  <si>
    <t>USB PD protocol</t>
  </si>
  <si>
    <t>BQ27427 Fuel Gauge</t>
  </si>
  <si>
    <t>Silicon DSBGA</t>
  </si>
  <si>
    <t>1.6×1.5mm</t>
  </si>
  <si>
    <t>Battery gauge</t>
  </si>
  <si>
    <t>TCXO 32MHz</t>
  </si>
  <si>
    <t>Quartz/TCXO</t>
  </si>
  <si>
    <t>Replaces 2 crystals — BOM reduction</t>
  </si>
  <si>
    <t>LSE Crystal 32.768kHz</t>
  </si>
  <si>
    <t>Quartz</t>
  </si>
  <si>
    <t>1.6×1.0mm</t>
  </si>
  <si>
    <t>RTC crystal only</t>
  </si>
  <si>
    <t>MLCC Capacitors (~60pcs)</t>
  </si>
  <si>
    <t>Ceramic</t>
  </si>
  <si>
    <t>0402/0603 mix</t>
  </si>
  <si>
    <t>Passives</t>
  </si>
  <si>
    <t>~8mg each avg</t>
  </si>
  <si>
    <t>Resistors (~35pcs)</t>
  </si>
  <si>
    <t>Thick Film</t>
  </si>
  <si>
    <t>0402 mix</t>
  </si>
  <si>
    <t>~4mg each avg</t>
  </si>
  <si>
    <t>Inductors + Ferrite Beads (~15)</t>
  </si>
  <si>
    <t>Ferrite/Wire</t>
  </si>
  <si>
    <t>~18mg each avg</t>
  </si>
  <si>
    <t>TVS/ESD/Diodes (~5)</t>
  </si>
  <si>
    <t>Silicon</t>
  </si>
  <si>
    <t>SOT-23/SOT-363</t>
  </si>
  <si>
    <t>ESD protection</t>
  </si>
  <si>
    <t>USB-C Connector</t>
  </si>
  <si>
    <t>Brass/Nylon</t>
  </si>
  <si>
    <t>8.9×3.0mm SMT</t>
  </si>
  <si>
    <t>Type-C 5A rated</t>
  </si>
  <si>
    <t>JST Battery Connector</t>
  </si>
  <si>
    <t>Nylon/Brass</t>
  </si>
  <si>
    <t>2-pin 2.0mm</t>
  </si>
  <si>
    <t>PH series</t>
  </si>
  <si>
    <t>SWD Debug Header</t>
  </si>
  <si>
    <t>Brass/PBT</t>
  </si>
  <si>
    <t>Removable in production</t>
  </si>
  <si>
    <t>u.FL RF Connectors ×2</t>
  </si>
  <si>
    <t>Brass</t>
  </si>
  <si>
    <t>3.0×3.0mm u.FL</t>
  </si>
  <si>
    <t>LoRa + GNSS antennas</t>
  </si>
  <si>
    <t>IP67 Push Button SW1 (single)</t>
  </si>
  <si>
    <t>SS/Nylon IP67</t>
  </si>
  <si>
    <t>8×8mm SMD</t>
  </si>
  <si>
    <t>Single dual-function button</t>
  </si>
  <si>
    <t>LEDs ×6 (4 RGB+2 mono)</t>
  </si>
  <si>
    <t>LED/Epoxy</t>
  </si>
  <si>
    <t>0606+0603 mix</t>
  </si>
  <si>
    <t>LED</t>
  </si>
  <si>
    <t>4-LED indicator system</t>
  </si>
  <si>
    <t>Polyfuse F1</t>
  </si>
  <si>
    <t>PPTC</t>
  </si>
  <si>
    <t>Protection</t>
  </si>
  <si>
    <t>Self-resetting 500mA</t>
  </si>
  <si>
    <t>Solder (SAC305 all joints)</t>
  </si>
  <si>
    <t>SnAgCu</t>
  </si>
  <si>
    <t>Reflow SMT</t>
  </si>
  <si>
    <t>Process</t>
  </si>
  <si>
    <t>All pads estimated</t>
  </si>
  <si>
    <t>PCB Conformal Coat (IP67 grade)</t>
  </si>
  <si>
    <t>Acrylic/Silicone</t>
  </si>
  <si>
    <t>70µm average</t>
  </si>
  <si>
    <t>Full board coating</t>
  </si>
  <si>
    <t>Li-Po Battery 3000mAh</t>
  </si>
  <si>
    <t>Li-Polymer</t>
  </si>
  <si>
    <t>~60×40×4.8mm</t>
  </si>
  <si>
    <t>Battery</t>
  </si>
  <si>
    <t>Nominal 3000mAh weight</t>
  </si>
  <si>
    <t>Battery leads + JST plug</t>
  </si>
  <si>
    <t>Cu/PVC+Nylon</t>
  </si>
  <si>
    <t>~80mm 26AWG pair</t>
  </si>
  <si>
    <t>With connector</t>
  </si>
  <si>
    <t>ABS Top Shell</t>
  </si>
  <si>
    <t>ABS Plastic</t>
  </si>
  <si>
    <t>90×70×12mm</t>
  </si>
  <si>
    <t>Enclosure</t>
  </si>
  <si>
    <t>22% fill factor shell wall</t>
  </si>
  <si>
    <t>ABS Bottom Shell</t>
  </si>
  <si>
    <t>90×70 bottom</t>
  </si>
  <si>
    <t>18% fill bottom</t>
  </si>
  <si>
    <t>Silicone O-ring Gasket</t>
  </si>
  <si>
    <t>Silicone</t>
  </si>
  <si>
    <t>Perimeter ~300mm</t>
  </si>
  <si>
    <t>IP67 seal</t>
  </si>
  <si>
    <t>M3 SS Screws ×4 + brass inserts</t>
  </si>
  <si>
    <t>Stainless</t>
  </si>
  <si>
    <t>M3×6mm CSK</t>
  </si>
  <si>
    <t>Assembly hardware</t>
  </si>
  <si>
    <t>EVA Foam Pad (PCB-battery)</t>
  </si>
  <si>
    <t>EVA Foam</t>
  </si>
  <si>
    <t>40×60×1mm</t>
  </si>
  <si>
    <t>Vibration/thermal pad</t>
  </si>
  <si>
    <t xml:space="preserve">  ▶  C  WEIGHT SUMMARY &amp; PASS/FAIL (FIX 6)</t>
  </si>
  <si>
    <t>CALCULATED TOTAL WEIGHT</t>
  </si>
  <si>
    <t>grams</t>
  </si>
  <si>
    <t>Sum of all D-column subtotals</t>
  </si>
  <si>
    <t>TARGET WEIGHT LIMIT</t>
  </si>
  <si>
    <t>User-defined hard limit: &lt; 140 g</t>
  </si>
  <si>
    <t>WEIGHT MARGIN (headroom)</t>
  </si>
  <si>
    <t>Target minus Calculated. POSITIVE = under limit (PASS). FIX6: formula was inverted in v1</t>
  </si>
  <si>
    <t>PASS / FAIL STATUS</t>
  </si>
  <si>
    <t xml:space="preserve">  ▶  D  4-LAYER PCB STACKUP</t>
  </si>
  <si>
    <t>Layer</t>
  </si>
  <si>
    <t>Name</t>
  </si>
  <si>
    <t>Thickness (µm)</t>
  </si>
  <si>
    <t>Function</t>
  </si>
  <si>
    <t>L1 – Top</t>
  </si>
  <si>
    <t>Signal + RF + Components</t>
  </si>
  <si>
    <t>Copper 1oz</t>
  </si>
  <si>
    <t>LoRa RF routing, SMD pads, impedance-controlled 50Ω traces</t>
  </si>
  <si>
    <t>Microstrip: W=1.97mm for 50Ω on 360µm sub</t>
  </si>
  <si>
    <t>PP1-2</t>
  </si>
  <si>
    <t>Prepreg</t>
  </si>
  <si>
    <t>360</t>
  </si>
  <si>
    <t>Isola FR408HR</t>
  </si>
  <si>
    <t>High-frequency prepreg; Dk=3.67 @10GHz</t>
  </si>
  <si>
    <t>Use RF-grade prepreg for LR1120 traces</t>
  </si>
  <si>
    <t>Ground Plane (solid)</t>
  </si>
  <si>
    <t>Unbroken GND reference; RF shield; return path</t>
  </si>
  <si>
    <t>Never route signals; analog/digital GND merge here</t>
  </si>
  <si>
    <t>Core 2-3</t>
  </si>
  <si>
    <t>Core</t>
  </si>
  <si>
    <t>FR4 Tg&gt;170°C</t>
  </si>
  <si>
    <t>Structural; standard FR4 core</t>
  </si>
  <si>
    <t>Main PCB core</t>
  </si>
  <si>
    <t>Power + Secondary Signal</t>
  </si>
  <si>
    <t>3.3V pours; VDD domains; non-RF routing</t>
  </si>
  <si>
    <t>Pour fills; decoupling via to L1/L4</t>
  </si>
  <si>
    <t>PP3-4</t>
  </si>
  <si>
    <t>Same as PP1-2</t>
  </si>
  <si>
    <t>Symmetric stackup for warp control</t>
  </si>
  <si>
    <t>L4 – Bottom</t>
  </si>
  <si>
    <t>Signal + GND flood</t>
  </si>
  <si>
    <t>Bottom SMD; partial GND flood</t>
  </si>
  <si>
    <t>GPS area: solid GND beneath L89H for shielding</t>
  </si>
  <si>
    <t>SolderMask Top</t>
  </si>
  <si>
    <t>LPI Mask</t>
  </si>
  <si>
    <t>LPI Epoxy</t>
  </si>
  <si>
    <t>Exposed pads only</t>
  </si>
  <si>
    <t>Green; IP67 coating applied over mask</t>
  </si>
  <si>
    <t>SolderMask Bot</t>
  </si>
  <si>
    <t>Bottom protection</t>
  </si>
  <si>
    <t>Green</t>
  </si>
  <si>
    <t>ENIG Finish</t>
  </si>
  <si>
    <t>Gold plating</t>
  </si>
  <si>
    <t>Au 50nm / Ni 5µm</t>
  </si>
  <si>
    <t>Solderability; corrosion resistance</t>
  </si>
  <si>
    <t>ENIG for fine-pitch 0402 and QFN pads</t>
  </si>
  <si>
    <t>TOTAL</t>
  </si>
  <si>
    <t xml:space="preserve"> =35+360+35+710+35+360+35+20+20+5</t>
  </si>
  <si>
    <t>Nominal 1.615mm</t>
  </si>
  <si>
    <t>Within spec 1.6±0.16mm</t>
  </si>
  <si>
    <t>Standard production tolerance</t>
  </si>
  <si>
    <t>LED INDICATOR SYSTEM — 4-LED PATTERN GUIDE</t>
  </si>
  <si>
    <t>4 LEDs: D1=RGB Battery SOC | D2=Green GNSS Fix | D3=R/G LoRa/LR-FHSS Comm | D4=RGB RSSI Signal Strength</t>
  </si>
  <si>
    <t>⚡ POWER SAVING DESIGN:  All 'solid' states use 10% PWM duty cycle (0.7mA vs 7mA full = 90% saving).  LEDs activate for 3 seconds on state change, then OFF.  User can view status via single button press (triggers 5s LED cycle).  Exception: 5% SoC critical blink runs continuously at 10% PWM.</t>
  </si>
  <si>
    <t>State / Condition</t>
  </si>
  <si>
    <t>R</t>
  </si>
  <si>
    <t>G</t>
  </si>
  <si>
    <t>B</t>
  </si>
  <si>
    <t>Pattern</t>
  </si>
  <si>
    <t>Timing / Description</t>
  </si>
  <si>
    <t>Avg Power (µW)</t>
  </si>
  <si>
    <t>User Interpretation</t>
  </si>
  <si>
    <t>D1:RGB — Battery SOC</t>
  </si>
  <si>
    <t>100% SoC (≥95%)</t>
  </si>
  <si>
    <t>OFF</t>
  </si>
  <si>
    <t>ON 10%PWM</t>
  </si>
  <si>
    <t>Solid GREEN (10%PWM)</t>
  </si>
  <si>
    <t>Solid; 3s on event. Button: 5s display</t>
  </si>
  <si>
    <t>0.7mA×3.3V×10%=0.23mW</t>
  </si>
  <si>
    <t>Battery full</t>
  </si>
  <si>
    <t>75% SoC (70–94%)</t>
  </si>
  <si>
    <t>Solid BLUE (10%PWM)</t>
  </si>
  <si>
    <t>Solid; 3s on event</t>
  </si>
  <si>
    <t>0.23mW</t>
  </si>
  <si>
    <t>Good battery</t>
  </si>
  <si>
    <t>50% SoC (40–69%)</t>
  </si>
  <si>
    <t>Solid YELLOW (R+G 10%PWM)</t>
  </si>
  <si>
    <t>R+G simultaneously on; 3s</t>
  </si>
  <si>
    <t>0.46mW</t>
  </si>
  <si>
    <t>Half battery</t>
  </si>
  <si>
    <t>25% SoC (10–39%)</t>
  </si>
  <si>
    <t>Solid RED (10%PWM)</t>
  </si>
  <si>
    <t>Solid RED; 3s; charge soon</t>
  </si>
  <si>
    <t>Low battery — charge soon</t>
  </si>
  <si>
    <t>CRITICAL ≤5% SoC</t>
  </si>
  <si>
    <t>BLINK RED fast</t>
  </si>
  <si>
    <t>500ms ON / 500ms OFF; continuous; cannot suppress</t>
  </si>
  <si>
    <t>0.12mW avg (50% duty)</t>
  </si>
  <si>
    <t>CRITICAL — charge immediately</t>
  </si>
  <si>
    <t>Charging (USB connected)</t>
  </si>
  <si>
    <t>Breathing CYAN (G+B)</t>
  </si>
  <si>
    <t>2s ramp-up, 2s ramp-down via PWM sweep; charging</t>
  </si>
  <si>
    <t>0.35mW avg</t>
  </si>
  <si>
    <t>Charging in progress</t>
  </si>
  <si>
    <t>Fully charged</t>
  </si>
  <si>
    <t>ON 5%PWM</t>
  </si>
  <si>
    <t>Dim SOLID GREEN</t>
  </si>
  <si>
    <t>Very dim; 5% PWM; stays on while USB connected</t>
  </si>
  <si>
    <t>0.12mW</t>
  </si>
  <si>
    <t>D2:GREEN — NavIC/GNSS Fix</t>
  </si>
  <si>
    <t>3D Fix acquired</t>
  </si>
  <si>
    <t>Solid; 3s on fix event; then OFF</t>
  </si>
  <si>
    <t>GPS/NavIC lock OK</t>
  </si>
  <si>
    <t>Searching / No fix</t>
  </si>
  <si>
    <t>Slow BLINK GREEN</t>
  </si>
  <si>
    <t>1s ON / 2s OFF (0.33Hz); 3s display then stop</t>
  </si>
  <si>
    <t>0.08mW avg</t>
  </si>
  <si>
    <t>Searching for satellites</t>
  </si>
  <si>
    <t>Backup mode (GNSS off)</t>
  </si>
  <si>
    <t>No display; conserves battery</t>
  </si>
  <si>
    <t>0mW</t>
  </si>
  <si>
    <t>GNSS in backup (power saving)</t>
  </si>
  <si>
    <t>Fix lost (had fix, lost it)</t>
  </si>
  <si>
    <t>ON</t>
  </si>
  <si>
    <t>3× rapid flashes then OFF</t>
  </si>
  <si>
    <t>200ms ON / 200ms OFF × 3; then off</t>
  </si>
  <si>
    <t>&lt;0.1mW pulse</t>
  </si>
  <si>
    <t>NavIC signal lost</t>
  </si>
  <si>
    <t>D3:R/G — LoRa/LR-FHSS Comm</t>
  </si>
  <si>
    <t>LR-FHSS TX (27dBm)</t>
  </si>
  <si>
    <t>ON 100%</t>
  </si>
  <si>
    <t>Single RED flash</t>
  </si>
  <si>
    <t>100ms RED pulse per TX; matches LR-FHSS frame start</t>
  </si>
  <si>
    <t>1.0mW × 0.1s = 0.1µWh/TX</t>
  </si>
  <si>
    <t>LR-FHSS transmitting</t>
  </si>
  <si>
    <t>LoRaWAN standard TX</t>
  </si>
  <si>
    <t>Single GREEN flash</t>
  </si>
  <si>
    <t>100ms GREEN pulse per TX</t>
  </si>
  <si>
    <t>LoRa transmitting</t>
  </si>
  <si>
    <t>RX window open (RX1/RX2)</t>
  </si>
  <si>
    <t>ON 30%</t>
  </si>
  <si>
    <t>Alternating R/G dim</t>
  </si>
  <si>
    <t>200ms R → 200ms G → 200ms R; during RX window</t>
  </si>
  <si>
    <t>0.5mW</t>
  </si>
  <si>
    <t>Listening for downlink</t>
  </si>
  <si>
    <t>Network join (OTAA)</t>
  </si>
  <si>
    <t>Rapid R+G alternation</t>
  </si>
  <si>
    <t>100ms R / 100ms G; while joining</t>
  </si>
  <si>
    <t>0.7mW avg</t>
  </si>
  <si>
    <t>Joining LoRaWAN network</t>
  </si>
  <si>
    <t>Join failed / No network</t>
  </si>
  <si>
    <t>3× slow RED blinks then OFF</t>
  </si>
  <si>
    <t>1s ON / 1s OFF × 3; then OFF</t>
  </si>
  <si>
    <t>0.08mW avg × 6s</t>
  </si>
  <si>
    <t>No LoRa network found</t>
  </si>
  <si>
    <t>SOS transmitted</t>
  </si>
  <si>
    <t>FAST DOUBLE-FLASH RED</t>
  </si>
  <si>
    <t>(100ms R, 100ms off) × 2, 500ms pause; repeat 5×</t>
  </si>
  <si>
    <t>1.2mW × 3s = transient</t>
  </si>
  <si>
    <t>SOS alert sent!</t>
  </si>
  <si>
    <t>D4:RGB — RSSI Signal</t>
  </si>
  <si>
    <t>Excellent (RSSI ≥ −80 dBm)</t>
  </si>
  <si>
    <t>3s on TX/RX event; then OFF</t>
  </si>
  <si>
    <t>Strong signal</t>
  </si>
  <si>
    <t>Good (−80 to −100 dBm)</t>
  </si>
  <si>
    <t>3s display</t>
  </si>
  <si>
    <t>Good signal</t>
  </si>
  <si>
    <t>Fair (−100 to −120 dBm)</t>
  </si>
  <si>
    <t>Moderate signal</t>
  </si>
  <si>
    <t>Poor (−120 to −130 dBm)</t>
  </si>
  <si>
    <t>3s display; consider repositioning</t>
  </si>
  <si>
    <t>Weak signal</t>
  </si>
  <si>
    <t>No signal (&lt; −130 dBm)</t>
  </si>
  <si>
    <t>FAST BLINK RED</t>
  </si>
  <si>
    <t>250ms ON / 250ms OFF; 4Hz blink; 3s display</t>
  </si>
  <si>
    <t>0.12mW avg</t>
  </si>
  <si>
    <t>No LoRa signal detected</t>
  </si>
  <si>
    <t>Not connected / idle</t>
  </si>
  <si>
    <t>All off; conserve power</t>
  </si>
  <si>
    <t>Radio idle / sleeping</t>
  </si>
  <si>
    <t>SOS:SPECIAL — SOS</t>
  </si>
  <si>
    <t>Double press SW1 detected</t>
  </si>
  <si>
    <t>MORSE SOS pattern</t>
  </si>
  <si>
    <t>3× short(200ms R/200ms off) + 3× long(600ms Y/200ms off) + 3× short(200ms R); 30s repeat</t>
  </si>
  <si>
    <t>2mW avg × duration</t>
  </si>
  <si>
    <t>EMERGENCY — SOS activated!</t>
  </si>
  <si>
    <t>SOS acknowledged (downlink)</t>
  </si>
  <si>
    <t>5× rapid GREEN flashes</t>
  </si>
  <si>
    <t>100ms ON / 100ms OFF × 5; then solid GREEN 3s</t>
  </si>
  <si>
    <t>1mW × 1s = transient</t>
  </si>
  <si>
    <t>SOS received by server</t>
  </si>
  <si>
    <t>Power ON (long press 6s)</t>
  </si>
  <si>
    <t>WHITE ramp-up 0→100%</t>
  </si>
  <si>
    <t>2s ramp from dim to full WHITE; all 3 channels; then OFF</t>
  </si>
  <si>
    <t>3mW × 2s = transient</t>
  </si>
  <si>
    <t>Device powering on</t>
  </si>
  <si>
    <t>Power OFF (long press 6s)</t>
  </si>
  <si>
    <t>WHITE fade 100→0%</t>
  </si>
  <si>
    <t>2s ramp from full to off; all 3 channels</t>
  </si>
  <si>
    <t>Device shutting down</t>
  </si>
  <si>
    <t xml:space="preserve">  ▶  LED DAILY ENERGY BUDGET SUMMARY</t>
  </si>
  <si>
    <t>Events/Day</t>
  </si>
  <si>
    <t>Active Time/Event</t>
  </si>
  <si>
    <t>PWM Duty</t>
  </si>
  <si>
    <t>Energy (µAh/day)</t>
  </si>
  <si>
    <t>D1 RGB Battery</t>
  </si>
  <si>
    <t xml:space="preserve"> </t>
  </si>
  <si>
    <t>3s on 8 state-change events/day at 10% PWM</t>
  </si>
  <si>
    <t>D2 Green GNSS</t>
  </si>
  <si>
    <t>Fix acquired/lost events; very rare</t>
  </si>
  <si>
    <t>D3 R/G LoRa TX</t>
  </si>
  <si>
    <t>100ms full-brightness flash per TX event</t>
  </si>
  <si>
    <t>D4 RGB RSSI</t>
  </si>
  <si>
    <t>After each TX/RX; 3s at 10% PWM</t>
  </si>
  <si>
    <t>SOS pattern (if triggered)</t>
  </si>
  <si>
    <t>Emergency; not budgeted in daily; rare</t>
  </si>
  <si>
    <t>Power ON/OFF blink</t>
  </si>
  <si>
    <t>All 3 channels; 0.1 events/day average</t>
  </si>
  <si>
    <t xml:space="preserve">  ▶  TOTAL LED ENERGY</t>
  </si>
  <si>
    <t>Total LED Daily Energy (µAh/day)</t>
  </si>
  <si>
    <t>µAh/day</t>
  </si>
  <si>
    <t>&lt;5 µAh/day — negligible (&lt;0.3% of daily budget)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</si>
</sst>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\$#,##0.00"/>
    <numFmt numFmtId="165" formatCode="#,##0.0"/>
    <numFmt numFmtId="166" formatCode="0.0"/>
    <numFmt numFmtId="167" formatCode="0.000"/>
    <numFmt numFmtId="168" formatCode="#,##0.000"/>
  </numFmts>
  <fonts count="29">
    <font>
      <sz val="11.0"/>
      <color theme="1"/>
      <name val="Calibri"/>
      <scheme val="minor"/>
    </font>
    <font>
      <b/>
      <sz val="13.0"/>
      <color rgb="FFFFFFFF"/>
      <name val="Arial"/>
    </font>
    <font/>
    <font>
      <i/>
      <sz val="9.0"/>
      <color rgb="FFFFFFFF"/>
      <name val="Arial"/>
    </font>
    <font>
      <b/>
      <sz val="8.0"/>
      <color rgb="FFFFFFFF"/>
      <name val="Arial"/>
    </font>
    <font>
      <b/>
      <sz val="9.0"/>
      <color rgb="FFFFFFFF"/>
      <name val="Arial"/>
    </font>
    <font>
      <sz val="8.0"/>
      <color theme="1"/>
      <name val="Arial"/>
    </font>
    <font>
      <b/>
      <sz val="10.0"/>
      <color rgb="FFFFFFFF"/>
      <name val="Arial"/>
    </font>
    <font>
      <sz val="11.0"/>
      <color theme="1"/>
      <name val="Calibri"/>
    </font>
    <font>
      <b/>
      <sz val="9.0"/>
      <color rgb="FF000000"/>
      <name val="Arial"/>
    </font>
    <font>
      <b/>
      <sz val="9.0"/>
      <color rgb="FF00008B"/>
      <name val="Arial"/>
    </font>
    <font>
      <sz val="8.0"/>
      <color rgb="FF000000"/>
      <name val="Arial"/>
    </font>
    <font>
      <b/>
      <sz val="10.0"/>
      <color rgb="FF000000"/>
      <name val="Arial"/>
    </font>
    <font>
      <b/>
      <sz val="11.0"/>
      <color rgb="FF1E5631"/>
      <name val="Arial"/>
    </font>
    <font>
      <sz val="9.0"/>
      <color rgb="FF000000"/>
      <name val="Arial"/>
    </font>
    <font>
      <b/>
      <sz val="8.0"/>
      <color rgb="FF000000"/>
      <name val="Arial"/>
    </font>
    <font>
      <b/>
      <sz val="8.0"/>
      <color theme="1"/>
      <name val="Arial"/>
    </font>
    <font>
      <b/>
      <sz val="11.0"/>
      <color rgb="FFFFFFFF"/>
      <name val="Arial"/>
    </font>
    <font>
      <b/>
      <sz val="12.0"/>
      <color rgb="FFFFFFFF"/>
      <name val="Arial"/>
    </font>
    <font>
      <b/>
      <sz val="11.0"/>
      <color rgb="FF000000"/>
      <name val="Arial"/>
    </font>
    <font>
      <b/>
      <sz val="12.0"/>
      <color rgb="FF1E5631"/>
      <name val="Arial"/>
    </font>
    <font>
      <sz val="9.0"/>
      <color theme="1"/>
      <name val="Arial"/>
    </font>
    <font>
      <b/>
      <sz val="9.0"/>
      <color theme="1"/>
      <name val="Arial"/>
    </font>
    <font>
      <sz val="10.0"/>
      <color rgb="FF000000"/>
      <name val="Arial"/>
    </font>
    <font>
      <sz val="11.0"/>
      <color rgb="FF000000"/>
      <name val="Arial"/>
    </font>
    <font>
      <b/>
      <sz val="13.0"/>
      <color rgb="FF1A3A5C"/>
      <name val="Arial"/>
    </font>
    <font>
      <b/>
      <sz val="13.0"/>
      <color rgb="FF8B0000"/>
      <name val="Arial"/>
    </font>
    <font>
      <b/>
      <sz val="13.0"/>
      <color rgb="FF1E5631"/>
      <name val="Arial"/>
    </font>
    <font>
      <i/>
      <sz val="8.0"/>
      <color rgb="FFFFFFFF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1A3A5C"/>
        <bgColor rgb="FF1A3A5C"/>
      </patternFill>
    </fill>
    <fill>
      <patternFill patternType="solid">
        <fgColor rgb="FF2E6DA4"/>
        <bgColor rgb="FF2E6DA4"/>
      </patternFill>
    </fill>
    <fill>
      <patternFill patternType="solid">
        <fgColor rgb="FFFFFFFF"/>
        <bgColor rgb="FFFFFFFF"/>
      </patternFill>
    </fill>
    <fill>
      <patternFill patternType="solid">
        <fgColor rgb="FFE8F4FD"/>
        <bgColor rgb="FFE8F4FD"/>
      </patternFill>
    </fill>
    <fill>
      <patternFill patternType="solid">
        <fgColor rgb="FF1E5631"/>
        <bgColor rgb="FF1E5631"/>
      </patternFill>
    </fill>
    <fill>
      <patternFill patternType="solid">
        <fgColor rgb="FF2E8B4A"/>
        <bgColor rgb="FF2E8B4A"/>
      </patternFill>
    </fill>
    <fill>
      <patternFill patternType="solid">
        <fgColor rgb="FFF5F5F5"/>
        <bgColor rgb="FFF5F5F5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  <fill>
      <patternFill patternType="solid">
        <fgColor rgb="FFD6E4F0"/>
        <bgColor rgb="FFD6E4F0"/>
      </patternFill>
    </fill>
    <fill>
      <patternFill patternType="solid">
        <fgColor rgb="FF5D3A1A"/>
        <bgColor rgb="FF5D3A1A"/>
      </patternFill>
    </fill>
    <fill>
      <patternFill patternType="solid">
        <fgColor rgb="FFA0522D"/>
        <bgColor rgb="FFA0522D"/>
      </patternFill>
    </fill>
    <fill>
      <patternFill patternType="solid">
        <fgColor rgb="FF4A235A"/>
        <bgColor rgb="FF4A235A"/>
      </patternFill>
    </fill>
    <fill>
      <patternFill patternType="solid">
        <fgColor rgb="FF7D3C98"/>
        <bgColor rgb="FF7D3C98"/>
      </patternFill>
    </fill>
    <fill>
      <patternFill patternType="solid">
        <fgColor rgb="FFFFF9E6"/>
        <bgColor rgb="FFFFF9E6"/>
      </patternFill>
    </fill>
    <fill>
      <patternFill patternType="solid">
        <fgColor rgb="FFE8F5E9"/>
        <bgColor rgb="FFE8F5E9"/>
      </patternFill>
    </fill>
    <fill>
      <patternFill patternType="solid">
        <fgColor rgb="FFFDECEA"/>
        <bgColor rgb="FFFDECEA"/>
      </patternFill>
    </fill>
    <fill>
      <patternFill patternType="solid">
        <fgColor rgb="FFF8D7DA"/>
        <bgColor rgb="FFF8D7DA"/>
      </patternFill>
    </fill>
    <fill>
      <patternFill patternType="solid">
        <fgColor rgb="FFEBF3FB"/>
        <bgColor rgb="FFEBF3FB"/>
      </patternFill>
    </fill>
    <fill>
      <patternFill patternType="solid">
        <fgColor rgb="FFF3E8FF"/>
        <bgColor rgb="FFF3E8FF"/>
      </patternFill>
    </fill>
    <fill>
      <patternFill patternType="solid">
        <fgColor rgb="FFE8D5F0"/>
        <bgColor rgb="FFE8D5F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/>
      <right/>
      <top/>
      <bottom/>
    </border>
    <border>
      <left style="thin">
        <color rgb="FFBBBBBB"/>
      </left>
      <top style="thin">
        <color rgb="FFBBBBBB"/>
      </top>
      <bottom style="thin">
        <color rgb="FFBBBBBB"/>
      </bottom>
    </border>
    <border>
      <top style="thin">
        <color rgb="FFBBBBBB"/>
      </top>
      <bottom style="thin">
        <color rgb="FFBBBBBB"/>
      </bottom>
    </border>
    <border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4" fillId="2" fontId="4" numFmtId="0" xfId="0" applyAlignment="1" applyBorder="1" applyFont="1">
      <alignment horizontal="center" shrinkToFit="0" vertical="center" wrapText="1"/>
    </xf>
    <xf borderId="5" fillId="3" fontId="5" numFmtId="0" xfId="0" applyAlignment="1" applyBorder="1" applyFont="1">
      <alignment horizontal="left" shrinkToFit="0" vertical="center" wrapText="0"/>
    </xf>
    <xf borderId="4" fillId="4" fontId="6" numFmtId="0" xfId="0" applyAlignment="1" applyBorder="1" applyFill="1" applyFont="1">
      <alignment horizontal="center" shrinkToFit="0" vertical="center" wrapText="0"/>
    </xf>
    <xf borderId="4" fillId="4" fontId="6" numFmtId="0" xfId="0" applyAlignment="1" applyBorder="1" applyFont="1">
      <alignment horizontal="left" shrinkToFit="0" vertical="center" wrapText="0"/>
    </xf>
    <xf borderId="4" fillId="4" fontId="6" numFmtId="0" xfId="0" applyAlignment="1" applyBorder="1" applyFont="1">
      <alignment horizontal="left" shrinkToFit="0" vertical="center" wrapText="1"/>
    </xf>
    <xf borderId="4" fillId="4" fontId="6" numFmtId="164" xfId="0" applyAlignment="1" applyBorder="1" applyFont="1" applyNumberFormat="1">
      <alignment horizontal="center" shrinkToFit="0" vertical="center" wrapText="0"/>
    </xf>
    <xf borderId="4" fillId="5" fontId="6" numFmtId="0" xfId="0" applyAlignment="1" applyBorder="1" applyFill="1" applyFont="1">
      <alignment horizontal="center" shrinkToFit="0" vertical="center" wrapText="0"/>
    </xf>
    <xf borderId="4" fillId="5" fontId="6" numFmtId="0" xfId="0" applyAlignment="1" applyBorder="1" applyFont="1">
      <alignment horizontal="left" shrinkToFit="0" vertical="center" wrapText="0"/>
    </xf>
    <xf borderId="4" fillId="5" fontId="6" numFmtId="0" xfId="0" applyAlignment="1" applyBorder="1" applyFont="1">
      <alignment horizontal="left" shrinkToFit="0" vertical="center" wrapText="1"/>
    </xf>
    <xf borderId="4" fillId="5" fontId="6" numFmtId="164" xfId="0" applyAlignment="1" applyBorder="1" applyFont="1" applyNumberFormat="1">
      <alignment horizontal="center" shrinkToFit="0" vertical="center" wrapText="0"/>
    </xf>
    <xf borderId="1" fillId="2" fontId="7" numFmtId="0" xfId="0" applyAlignment="1" applyBorder="1" applyFont="1">
      <alignment horizontal="right" shrinkToFit="0" vertical="center" wrapText="0"/>
    </xf>
    <xf borderId="4" fillId="2" fontId="7" numFmtId="164" xfId="0" applyAlignment="1" applyBorder="1" applyFont="1" applyNumberFormat="1">
      <alignment horizontal="center" shrinkToFit="0" vertical="center" wrapText="0"/>
    </xf>
    <xf borderId="0" fillId="0" fontId="8" numFmtId="0" xfId="0" applyAlignment="1" applyFont="1">
      <alignment shrinkToFit="0" vertical="bottom" wrapText="0"/>
    </xf>
    <xf borderId="1" fillId="6" fontId="1" numFmtId="0" xfId="0" applyAlignment="1" applyBorder="1" applyFill="1" applyFont="1">
      <alignment horizontal="center" shrinkToFit="0" vertical="center" wrapText="0"/>
    </xf>
    <xf borderId="1" fillId="7" fontId="3" numFmtId="0" xfId="0" applyAlignment="1" applyBorder="1" applyFill="1" applyFont="1">
      <alignment horizontal="center" shrinkToFit="0" vertical="center" wrapText="0"/>
    </xf>
    <xf borderId="1" fillId="6" fontId="5" numFmtId="0" xfId="0" applyAlignment="1" applyBorder="1" applyFont="1">
      <alignment horizontal="left" shrinkToFit="0" vertical="center" wrapText="0"/>
    </xf>
    <xf borderId="4" fillId="7" fontId="4" numFmtId="0" xfId="0" applyAlignment="1" applyBorder="1" applyFont="1">
      <alignment horizontal="center" shrinkToFit="0" vertical="center" wrapText="1"/>
    </xf>
    <xf borderId="4" fillId="8" fontId="9" numFmtId="0" xfId="0" applyAlignment="1" applyBorder="1" applyFill="1" applyFont="1">
      <alignment horizontal="left" shrinkToFit="0" vertical="center" wrapText="0"/>
    </xf>
    <xf borderId="4" fillId="9" fontId="10" numFmtId="0" xfId="0" applyAlignment="1" applyBorder="1" applyFill="1" applyFont="1">
      <alignment horizontal="center" shrinkToFit="0" vertical="center" wrapText="0"/>
    </xf>
    <xf borderId="4" fillId="5" fontId="11" numFmtId="0" xfId="0" applyAlignment="1" applyBorder="1" applyFont="1">
      <alignment horizontal="left" shrinkToFit="0" vertical="center" wrapText="0"/>
    </xf>
    <xf borderId="4" fillId="4" fontId="11" numFmtId="0" xfId="0" applyAlignment="1" applyBorder="1" applyFont="1">
      <alignment horizontal="left" shrinkToFit="0" vertical="center" wrapText="1"/>
    </xf>
    <xf borderId="5" fillId="4" fontId="8" numFmtId="0" xfId="0" applyAlignment="1" applyBorder="1" applyFont="1">
      <alignment shrinkToFit="0" vertical="bottom" wrapText="0"/>
    </xf>
    <xf borderId="4" fillId="9" fontId="10" numFmtId="10" xfId="0" applyAlignment="1" applyBorder="1" applyFont="1" applyNumberFormat="1">
      <alignment horizontal="center" shrinkToFit="0" vertical="center" wrapText="0"/>
    </xf>
    <xf borderId="4" fillId="10" fontId="12" numFmtId="0" xfId="0" applyAlignment="1" applyBorder="1" applyFill="1" applyFont="1">
      <alignment horizontal="left" shrinkToFit="0" vertical="center" wrapText="0"/>
    </xf>
    <xf borderId="4" fillId="10" fontId="13" numFmtId="165" xfId="0" applyAlignment="1" applyBorder="1" applyFont="1" applyNumberFormat="1">
      <alignment horizontal="center" shrinkToFit="0" vertical="center" wrapText="0"/>
    </xf>
    <xf borderId="4" fillId="10" fontId="9" numFmtId="0" xfId="0" applyAlignment="1" applyBorder="1" applyFont="1">
      <alignment horizontal="left" shrinkToFit="0" vertical="center" wrapText="0"/>
    </xf>
    <xf borderId="4" fillId="10" fontId="11" numFmtId="0" xfId="0" applyAlignment="1" applyBorder="1" applyFont="1">
      <alignment horizontal="left" shrinkToFit="0" vertical="center" wrapText="1"/>
    </xf>
    <xf borderId="4" fillId="9" fontId="14" numFmtId="166" xfId="0" applyAlignment="1" applyBorder="1" applyFont="1" applyNumberFormat="1">
      <alignment horizontal="center" shrinkToFit="0" vertical="center" wrapText="0"/>
    </xf>
    <xf borderId="4" fillId="4" fontId="11" numFmtId="0" xfId="0" applyAlignment="1" applyBorder="1" applyFont="1">
      <alignment horizontal="left" shrinkToFit="0" vertical="center" wrapText="0"/>
    </xf>
    <xf borderId="4" fillId="9" fontId="14" numFmtId="2" xfId="0" applyAlignment="1" applyBorder="1" applyFont="1" applyNumberFormat="1">
      <alignment horizontal="center" shrinkToFit="0" vertical="center" wrapText="0"/>
    </xf>
    <xf borderId="4" fillId="9" fontId="14" numFmtId="0" xfId="0" applyAlignment="1" applyBorder="1" applyFont="1">
      <alignment horizontal="center" shrinkToFit="0" vertical="center" wrapText="0"/>
    </xf>
    <xf borderId="4" fillId="10" fontId="14" numFmtId="3" xfId="0" applyAlignment="1" applyBorder="1" applyFont="1" applyNumberFormat="1">
      <alignment horizontal="center" shrinkToFit="0" vertical="center" wrapText="0"/>
    </xf>
    <xf borderId="4" fillId="10" fontId="14" numFmtId="166" xfId="0" applyAlignment="1" applyBorder="1" applyFont="1" applyNumberFormat="1">
      <alignment horizontal="center" shrinkToFit="0" vertical="center" wrapText="0"/>
    </xf>
    <xf borderId="4" fillId="5" fontId="11" numFmtId="0" xfId="0" applyAlignment="1" applyBorder="1" applyFont="1">
      <alignment horizontal="left" shrinkToFit="0" vertical="center" wrapText="1"/>
    </xf>
    <xf borderId="4" fillId="5" fontId="6" numFmtId="2" xfId="0" applyAlignment="1" applyBorder="1" applyFont="1" applyNumberFormat="1">
      <alignment horizontal="center" shrinkToFit="0" vertical="center" wrapText="0"/>
    </xf>
    <xf borderId="4" fillId="5" fontId="6" numFmtId="167" xfId="0" applyAlignment="1" applyBorder="1" applyFont="1" applyNumberFormat="1">
      <alignment horizontal="center" shrinkToFit="0" vertical="center" wrapText="0"/>
    </xf>
    <xf borderId="4" fillId="5" fontId="6" numFmtId="4" xfId="0" applyAlignment="1" applyBorder="1" applyFont="1" applyNumberFormat="1">
      <alignment horizontal="center" shrinkToFit="0" vertical="center" wrapText="0"/>
    </xf>
    <xf borderId="4" fillId="4" fontId="6" numFmtId="2" xfId="0" applyAlignment="1" applyBorder="1" applyFont="1" applyNumberFormat="1">
      <alignment horizontal="center" shrinkToFit="0" vertical="center" wrapText="0"/>
    </xf>
    <xf borderId="4" fillId="4" fontId="6" numFmtId="167" xfId="0" applyAlignment="1" applyBorder="1" applyFont="1" applyNumberFormat="1">
      <alignment horizontal="center" shrinkToFit="0" vertical="center" wrapText="0"/>
    </xf>
    <xf borderId="4" fillId="4" fontId="6" numFmtId="4" xfId="0" applyAlignment="1" applyBorder="1" applyFont="1" applyNumberFormat="1">
      <alignment horizontal="center" shrinkToFit="0" vertical="center" wrapText="0"/>
    </xf>
    <xf borderId="4" fillId="8" fontId="15" numFmtId="0" xfId="0" applyAlignment="1" applyBorder="1" applyFont="1">
      <alignment horizontal="left" shrinkToFit="0" vertical="center" wrapText="0"/>
    </xf>
    <xf borderId="4" fillId="8" fontId="16" numFmtId="167" xfId="0" applyAlignment="1" applyBorder="1" applyFont="1" applyNumberFormat="1">
      <alignment horizontal="center" shrinkToFit="0" vertical="center" wrapText="0"/>
    </xf>
    <xf borderId="4" fillId="8" fontId="16" numFmtId="165" xfId="0" applyAlignment="1" applyBorder="1" applyFont="1" applyNumberFormat="1">
      <alignment horizontal="center" shrinkToFit="0" vertical="center" wrapText="0"/>
    </xf>
    <xf borderId="4" fillId="8" fontId="6" numFmtId="0" xfId="0" applyAlignment="1" applyBorder="1" applyFont="1">
      <alignment horizontal="center" shrinkToFit="0" vertical="center" wrapText="0"/>
    </xf>
    <xf borderId="4" fillId="8" fontId="16" numFmtId="4" xfId="0" applyAlignment="1" applyBorder="1" applyFont="1" applyNumberFormat="1">
      <alignment horizontal="center" shrinkToFit="0" vertical="center" wrapText="0"/>
    </xf>
    <xf borderId="4" fillId="8" fontId="11" numFmtId="0" xfId="0" applyAlignment="1" applyBorder="1" applyFont="1">
      <alignment horizontal="left" shrinkToFit="0" vertical="center" wrapText="1"/>
    </xf>
    <xf borderId="4" fillId="11" fontId="12" numFmtId="0" xfId="0" applyAlignment="1" applyBorder="1" applyFill="1" applyFont="1">
      <alignment horizontal="left" shrinkToFit="0" vertical="center" wrapText="0"/>
    </xf>
    <xf borderId="4" fillId="10" fontId="13" numFmtId="4" xfId="0" applyAlignment="1" applyBorder="1" applyFont="1" applyNumberFormat="1">
      <alignment horizontal="center" shrinkToFit="0" vertical="center" wrapText="0"/>
    </xf>
    <xf borderId="4" fillId="5" fontId="13" numFmtId="4" xfId="0" applyAlignment="1" applyBorder="1" applyFont="1" applyNumberFormat="1">
      <alignment horizontal="center" shrinkToFit="0" vertical="center" wrapText="0"/>
    </xf>
    <xf borderId="4" fillId="5" fontId="14" numFmtId="0" xfId="0" applyAlignment="1" applyBorder="1" applyFont="1">
      <alignment horizontal="left" shrinkToFit="0" vertical="center" wrapText="0"/>
    </xf>
    <xf borderId="4" fillId="2" fontId="17" numFmtId="0" xfId="0" applyAlignment="1" applyBorder="1" applyFont="1">
      <alignment horizontal="left" shrinkToFit="0" vertical="center" wrapText="0"/>
    </xf>
    <xf borderId="5" fillId="2" fontId="8" numFmtId="0" xfId="0" applyAlignment="1" applyBorder="1" applyFont="1">
      <alignment shrinkToFit="0" vertical="bottom" wrapText="0"/>
    </xf>
    <xf borderId="4" fillId="2" fontId="18" numFmtId="4" xfId="0" applyAlignment="1" applyBorder="1" applyFont="1" applyNumberFormat="1">
      <alignment horizontal="center" shrinkToFit="0" vertical="center" wrapText="0"/>
    </xf>
    <xf borderId="4" fillId="2" fontId="5" numFmtId="0" xfId="0" applyAlignment="1" applyBorder="1" applyFont="1">
      <alignment horizontal="left" shrinkToFit="0" vertical="center" wrapText="0"/>
    </xf>
    <xf borderId="4" fillId="10" fontId="19" numFmtId="0" xfId="0" applyAlignment="1" applyBorder="1" applyFont="1">
      <alignment horizontal="left" shrinkToFit="0" vertical="center" wrapText="0"/>
    </xf>
    <xf borderId="4" fillId="10" fontId="20" numFmtId="168" xfId="0" applyAlignment="1" applyBorder="1" applyFont="1" applyNumberFormat="1">
      <alignment horizontal="center" shrinkToFit="0" vertical="center" wrapText="0"/>
    </xf>
    <xf borderId="4" fillId="5" fontId="21" numFmtId="165" xfId="0" applyAlignment="1" applyBorder="1" applyFont="1" applyNumberFormat="1">
      <alignment horizontal="center" shrinkToFit="0" vertical="center" wrapText="0"/>
    </xf>
    <xf borderId="4" fillId="5" fontId="21" numFmtId="3" xfId="0" applyAlignment="1" applyBorder="1" applyFont="1" applyNumberFormat="1">
      <alignment horizontal="center" shrinkToFit="0" vertical="center" wrapText="0"/>
    </xf>
    <xf borderId="4" fillId="5" fontId="21" numFmtId="2" xfId="0" applyAlignment="1" applyBorder="1" applyFont="1" applyNumberFormat="1">
      <alignment horizontal="center" shrinkToFit="0" vertical="center" wrapText="0"/>
    </xf>
    <xf borderId="4" fillId="5" fontId="21" numFmtId="0" xfId="0" applyAlignment="1" applyBorder="1" applyFont="1">
      <alignment horizontal="center" shrinkToFit="0" vertical="center" wrapText="0"/>
    </xf>
    <xf borderId="4" fillId="4" fontId="21" numFmtId="165" xfId="0" applyAlignment="1" applyBorder="1" applyFont="1" applyNumberFormat="1">
      <alignment horizontal="center" shrinkToFit="0" vertical="center" wrapText="0"/>
    </xf>
    <xf borderId="4" fillId="4" fontId="21" numFmtId="3" xfId="0" applyAlignment="1" applyBorder="1" applyFont="1" applyNumberFormat="1">
      <alignment horizontal="center" shrinkToFit="0" vertical="center" wrapText="0"/>
    </xf>
    <xf borderId="4" fillId="4" fontId="21" numFmtId="2" xfId="0" applyAlignment="1" applyBorder="1" applyFont="1" applyNumberFormat="1">
      <alignment horizontal="center" shrinkToFit="0" vertical="center" wrapText="0"/>
    </xf>
    <xf borderId="4" fillId="4" fontId="21" numFmtId="0" xfId="0" applyAlignment="1" applyBorder="1" applyFont="1">
      <alignment horizontal="center" shrinkToFit="0" vertical="center" wrapText="0"/>
    </xf>
    <xf borderId="4" fillId="10" fontId="22" numFmtId="165" xfId="0" applyAlignment="1" applyBorder="1" applyFont="1" applyNumberFormat="1">
      <alignment horizontal="center" shrinkToFit="0" vertical="center" wrapText="0"/>
    </xf>
    <xf borderId="4" fillId="10" fontId="22" numFmtId="3" xfId="0" applyAlignment="1" applyBorder="1" applyFont="1" applyNumberFormat="1">
      <alignment horizontal="center" shrinkToFit="0" vertical="center" wrapText="0"/>
    </xf>
    <xf borderId="4" fillId="10" fontId="22" numFmtId="2" xfId="0" applyAlignment="1" applyBorder="1" applyFont="1" applyNumberFormat="1">
      <alignment horizontal="center" shrinkToFit="0" vertical="center" wrapText="0"/>
    </xf>
    <xf borderId="4" fillId="10" fontId="22" numFmtId="0" xfId="0" applyAlignment="1" applyBorder="1" applyFont="1">
      <alignment horizontal="center" shrinkToFit="0" vertical="center" wrapText="0"/>
    </xf>
    <xf borderId="4" fillId="5" fontId="23" numFmtId="0" xfId="0" applyAlignment="1" applyBorder="1" applyFont="1">
      <alignment horizontal="left" shrinkToFit="0" vertical="center" wrapText="0"/>
    </xf>
    <xf borderId="4" fillId="5" fontId="24" numFmtId="4" xfId="0" applyAlignment="1" applyBorder="1" applyFont="1" applyNumberFormat="1">
      <alignment horizontal="center" shrinkToFit="0" vertical="center" wrapText="0"/>
    </xf>
    <xf borderId="4" fillId="5" fontId="14" numFmtId="0" xfId="0" applyAlignment="1" applyBorder="1" applyFont="1">
      <alignment horizontal="center" shrinkToFit="0" vertical="center" wrapText="0"/>
    </xf>
    <xf borderId="4" fillId="10" fontId="9" numFmtId="0" xfId="0" applyAlignment="1" applyBorder="1" applyFont="1">
      <alignment horizontal="center" shrinkToFit="0" vertical="center" wrapText="0"/>
    </xf>
    <xf borderId="4" fillId="4" fontId="23" numFmtId="0" xfId="0" applyAlignment="1" applyBorder="1" applyFont="1">
      <alignment horizontal="left" shrinkToFit="0" vertical="center" wrapText="0"/>
    </xf>
    <xf borderId="4" fillId="4" fontId="24" numFmtId="4" xfId="0" applyAlignment="1" applyBorder="1" applyFont="1" applyNumberFormat="1">
      <alignment horizontal="center" shrinkToFit="0" vertical="center" wrapText="0"/>
    </xf>
    <xf borderId="4" fillId="4" fontId="14" numFmtId="0" xfId="0" applyAlignment="1" applyBorder="1" applyFont="1">
      <alignment horizontal="center" shrinkToFit="0" vertical="center" wrapText="0"/>
    </xf>
    <xf borderId="1" fillId="12" fontId="1" numFmtId="0" xfId="0" applyAlignment="1" applyBorder="1" applyFill="1" applyFont="1">
      <alignment horizontal="center" shrinkToFit="0" vertical="center" wrapText="0"/>
    </xf>
    <xf borderId="1" fillId="13" fontId="3" numFmtId="0" xfId="0" applyAlignment="1" applyBorder="1" applyFill="1" applyFont="1">
      <alignment horizontal="center" shrinkToFit="0" vertical="center" wrapText="0"/>
    </xf>
    <xf borderId="1" fillId="12" fontId="5" numFmtId="0" xfId="0" applyAlignment="1" applyBorder="1" applyFont="1">
      <alignment horizontal="left" shrinkToFit="0" vertical="center" wrapText="0"/>
    </xf>
    <xf borderId="4" fillId="9" fontId="10" numFmtId="166" xfId="0" applyAlignment="1" applyBorder="1" applyFont="1" applyNumberFormat="1">
      <alignment horizontal="center" shrinkToFit="0" vertical="center" wrapText="0"/>
    </xf>
    <xf borderId="4" fillId="5" fontId="11" numFmtId="0" xfId="0" applyAlignment="1" applyBorder="1" applyFont="1">
      <alignment horizontal="center" shrinkToFit="0" vertical="center" wrapText="0"/>
    </xf>
    <xf borderId="4" fillId="8" fontId="14" numFmtId="0" xfId="0" applyAlignment="1" applyBorder="1" applyFont="1">
      <alignment horizontal="left" shrinkToFit="0" vertical="center" wrapText="0"/>
    </xf>
    <xf borderId="4" fillId="5" fontId="9" numFmtId="166" xfId="0" applyAlignment="1" applyBorder="1" applyFont="1" applyNumberFormat="1">
      <alignment horizontal="center" shrinkToFit="0" vertical="center" wrapText="0"/>
    </xf>
    <xf borderId="4" fillId="13" fontId="4" numFmtId="0" xfId="0" applyAlignment="1" applyBorder="1" applyFont="1">
      <alignment horizontal="center" shrinkToFit="0" vertical="center" wrapText="1"/>
    </xf>
    <xf borderId="4" fillId="11" fontId="19" numFmtId="0" xfId="0" applyAlignment="1" applyBorder="1" applyFont="1">
      <alignment horizontal="left" shrinkToFit="0" vertical="center" wrapText="0"/>
    </xf>
    <xf borderId="4" fillId="5" fontId="25" numFmtId="166" xfId="0" applyAlignment="1" applyBorder="1" applyFont="1" applyNumberFormat="1">
      <alignment horizontal="center" shrinkToFit="0" vertical="center" wrapText="0"/>
    </xf>
    <xf borderId="4" fillId="5" fontId="12" numFmtId="0" xfId="0" applyAlignment="1" applyBorder="1" applyFont="1">
      <alignment horizontal="center" shrinkToFit="0" vertical="center" wrapText="0"/>
    </xf>
    <xf borderId="4" fillId="9" fontId="19" numFmtId="0" xfId="0" applyAlignment="1" applyBorder="1" applyFont="1">
      <alignment horizontal="left" shrinkToFit="0" vertical="center" wrapText="0"/>
    </xf>
    <xf borderId="4" fillId="9" fontId="26" numFmtId="166" xfId="0" applyAlignment="1" applyBorder="1" applyFont="1" applyNumberFormat="1">
      <alignment horizontal="center" shrinkToFit="0" vertical="center" wrapText="0"/>
    </xf>
    <xf borderId="4" fillId="9" fontId="12" numFmtId="0" xfId="0" applyAlignment="1" applyBorder="1" applyFont="1">
      <alignment horizontal="center" shrinkToFit="0" vertical="center" wrapText="0"/>
    </xf>
    <xf borderId="4" fillId="9" fontId="14" numFmtId="0" xfId="0" applyAlignment="1" applyBorder="1" applyFont="1">
      <alignment horizontal="left" shrinkToFit="0" vertical="center" wrapText="0"/>
    </xf>
    <xf borderId="4" fillId="10" fontId="27" numFmtId="166" xfId="0" applyAlignment="1" applyBorder="1" applyFont="1" applyNumberFormat="1">
      <alignment horizontal="center" shrinkToFit="0" vertical="center" wrapText="0"/>
    </xf>
    <xf borderId="4" fillId="10" fontId="12" numFmtId="0" xfId="0" applyAlignment="1" applyBorder="1" applyFont="1">
      <alignment horizontal="center" shrinkToFit="0" vertical="center" wrapText="0"/>
    </xf>
    <xf borderId="4" fillId="10" fontId="14" numFmtId="0" xfId="0" applyAlignment="1" applyBorder="1" applyFont="1">
      <alignment horizontal="left" shrinkToFit="0" vertical="center" wrapText="1"/>
    </xf>
    <xf borderId="4" fillId="2" fontId="18" numFmtId="0" xfId="0" applyAlignment="1" applyBorder="1" applyFont="1">
      <alignment horizontal="left" shrinkToFit="0" vertical="center" wrapText="0"/>
    </xf>
    <xf borderId="6" fillId="6" fontId="18" numFmtId="0" xfId="0" applyAlignment="1" applyBorder="1" applyFont="1">
      <alignment horizontal="center" shrinkToFit="0" vertical="center" wrapText="0"/>
    </xf>
    <xf borderId="7" fillId="0" fontId="2" numFmtId="0" xfId="0" applyBorder="1" applyFont="1"/>
    <xf borderId="8" fillId="0" fontId="2" numFmtId="0" xfId="0" applyBorder="1" applyFont="1"/>
    <xf borderId="4" fillId="8" fontId="16" numFmtId="0" xfId="0" applyAlignment="1" applyBorder="1" applyFont="1">
      <alignment horizontal="left" shrinkToFit="0" vertical="center" wrapText="0"/>
    </xf>
    <xf borderId="4" fillId="8" fontId="16" numFmtId="0" xfId="0" applyAlignment="1" applyBorder="1" applyFont="1">
      <alignment horizontal="center" shrinkToFit="0" vertical="center" wrapText="0"/>
    </xf>
    <xf borderId="4" fillId="8" fontId="16" numFmtId="0" xfId="0" applyAlignment="1" applyBorder="1" applyFont="1">
      <alignment horizontal="left" shrinkToFit="0" vertical="center" wrapText="1"/>
    </xf>
    <xf borderId="1" fillId="14" fontId="1" numFmtId="0" xfId="0" applyAlignment="1" applyBorder="1" applyFill="1" applyFont="1">
      <alignment horizontal="center" shrinkToFit="0" vertical="center" wrapText="0"/>
    </xf>
    <xf borderId="1" fillId="15" fontId="3" numFmtId="0" xfId="0" applyAlignment="1" applyBorder="1" applyFill="1" applyFont="1">
      <alignment horizontal="center" shrinkToFit="0" vertical="center" wrapText="0"/>
    </xf>
    <xf borderId="1" fillId="12" fontId="28" numFmtId="0" xfId="0" applyAlignment="1" applyBorder="1" applyFont="1">
      <alignment horizontal="left" shrinkToFit="0" vertical="center" wrapText="1"/>
    </xf>
    <xf borderId="4" fillId="14" fontId="4" numFmtId="0" xfId="0" applyAlignment="1" applyBorder="1" applyFont="1">
      <alignment horizontal="center" shrinkToFit="0" vertical="center" wrapText="1"/>
    </xf>
    <xf borderId="4" fillId="9" fontId="6" numFmtId="0" xfId="0" applyAlignment="1" applyBorder="1" applyFont="1">
      <alignment horizontal="center" shrinkToFit="0" vertical="center" wrapText="0"/>
    </xf>
    <xf borderId="4" fillId="9" fontId="16" numFmtId="0" xfId="0" applyAlignment="1" applyBorder="1" applyFont="1">
      <alignment horizontal="left" shrinkToFit="0" vertical="center" wrapText="0"/>
    </xf>
    <xf borderId="4" fillId="9" fontId="6" numFmtId="0" xfId="0" applyAlignment="1" applyBorder="1" applyFont="1">
      <alignment horizontal="left" shrinkToFit="0" vertical="center" wrapText="1"/>
    </xf>
    <xf borderId="4" fillId="9" fontId="6" numFmtId="0" xfId="0" applyAlignment="1" applyBorder="1" applyFont="1">
      <alignment horizontal="left" shrinkToFit="0" vertical="center" wrapText="0"/>
    </xf>
    <xf borderId="4" fillId="16" fontId="6" numFmtId="0" xfId="0" applyAlignment="1" applyBorder="1" applyFill="1" applyFont="1">
      <alignment horizontal="center" shrinkToFit="0" vertical="center" wrapText="0"/>
    </xf>
    <xf borderId="4" fillId="16" fontId="16" numFmtId="0" xfId="0" applyAlignment="1" applyBorder="1" applyFont="1">
      <alignment horizontal="left" shrinkToFit="0" vertical="center" wrapText="0"/>
    </xf>
    <xf borderId="4" fillId="16" fontId="6" numFmtId="0" xfId="0" applyAlignment="1" applyBorder="1" applyFont="1">
      <alignment horizontal="left" shrinkToFit="0" vertical="center" wrapText="1"/>
    </xf>
    <xf borderId="4" fillId="16" fontId="6" numFmtId="0" xfId="0" applyAlignment="1" applyBorder="1" applyFont="1">
      <alignment horizontal="left" shrinkToFit="0" vertical="center" wrapText="0"/>
    </xf>
    <xf borderId="4" fillId="17" fontId="6" numFmtId="0" xfId="0" applyAlignment="1" applyBorder="1" applyFill="1" applyFont="1">
      <alignment horizontal="center" shrinkToFit="0" vertical="center" wrapText="0"/>
    </xf>
    <xf borderId="4" fillId="17" fontId="16" numFmtId="0" xfId="0" applyAlignment="1" applyBorder="1" applyFont="1">
      <alignment horizontal="left" shrinkToFit="0" vertical="center" wrapText="0"/>
    </xf>
    <xf borderId="4" fillId="17" fontId="6" numFmtId="0" xfId="0" applyAlignment="1" applyBorder="1" applyFont="1">
      <alignment horizontal="left" shrinkToFit="0" vertical="center" wrapText="1"/>
    </xf>
    <xf borderId="4" fillId="17" fontId="6" numFmtId="0" xfId="0" applyAlignment="1" applyBorder="1" applyFont="1">
      <alignment horizontal="left" shrinkToFit="0" vertical="center" wrapText="0"/>
    </xf>
    <xf borderId="4" fillId="10" fontId="6" numFmtId="0" xfId="0" applyAlignment="1" applyBorder="1" applyFont="1">
      <alignment horizontal="center" shrinkToFit="0" vertical="center" wrapText="0"/>
    </xf>
    <xf borderId="4" fillId="10" fontId="16" numFmtId="0" xfId="0" applyAlignment="1" applyBorder="1" applyFont="1">
      <alignment horizontal="left" shrinkToFit="0" vertical="center" wrapText="0"/>
    </xf>
    <xf borderId="4" fillId="10" fontId="6" numFmtId="0" xfId="0" applyAlignment="1" applyBorder="1" applyFont="1">
      <alignment horizontal="left" shrinkToFit="0" vertical="center" wrapText="1"/>
    </xf>
    <xf borderId="4" fillId="10" fontId="6" numFmtId="0" xfId="0" applyAlignment="1" applyBorder="1" applyFont="1">
      <alignment horizontal="left" shrinkToFit="0" vertical="center" wrapText="0"/>
    </xf>
    <xf borderId="4" fillId="18" fontId="6" numFmtId="0" xfId="0" applyAlignment="1" applyBorder="1" applyFill="1" applyFont="1">
      <alignment horizontal="center" shrinkToFit="0" vertical="center" wrapText="0"/>
    </xf>
    <xf borderId="4" fillId="18" fontId="16" numFmtId="0" xfId="0" applyAlignment="1" applyBorder="1" applyFont="1">
      <alignment horizontal="left" shrinkToFit="0" vertical="center" wrapText="0"/>
    </xf>
    <xf borderId="4" fillId="18" fontId="6" numFmtId="0" xfId="0" applyAlignment="1" applyBorder="1" applyFont="1">
      <alignment horizontal="left" shrinkToFit="0" vertical="center" wrapText="1"/>
    </xf>
    <xf borderId="4" fillId="18" fontId="6" numFmtId="0" xfId="0" applyAlignment="1" applyBorder="1" applyFont="1">
      <alignment horizontal="left" shrinkToFit="0" vertical="center" wrapText="0"/>
    </xf>
    <xf borderId="4" fillId="19" fontId="6" numFmtId="0" xfId="0" applyAlignment="1" applyBorder="1" applyFill="1" applyFont="1">
      <alignment horizontal="center" shrinkToFit="0" vertical="center" wrapText="0"/>
    </xf>
    <xf borderId="4" fillId="19" fontId="16" numFmtId="0" xfId="0" applyAlignment="1" applyBorder="1" applyFont="1">
      <alignment horizontal="left" shrinkToFit="0" vertical="center" wrapText="0"/>
    </xf>
    <xf borderId="4" fillId="19" fontId="6" numFmtId="0" xfId="0" applyAlignment="1" applyBorder="1" applyFont="1">
      <alignment horizontal="left" shrinkToFit="0" vertical="center" wrapText="1"/>
    </xf>
    <xf borderId="4" fillId="19" fontId="6" numFmtId="0" xfId="0" applyAlignment="1" applyBorder="1" applyFont="1">
      <alignment horizontal="left" shrinkToFit="0" vertical="center" wrapText="0"/>
    </xf>
    <xf borderId="4" fillId="20" fontId="6" numFmtId="0" xfId="0" applyAlignment="1" applyBorder="1" applyFill="1" applyFont="1">
      <alignment horizontal="center" shrinkToFit="0" vertical="center" wrapText="0"/>
    </xf>
    <xf borderId="4" fillId="20" fontId="16" numFmtId="0" xfId="0" applyAlignment="1" applyBorder="1" applyFont="1">
      <alignment horizontal="left" shrinkToFit="0" vertical="center" wrapText="0"/>
    </xf>
    <xf borderId="4" fillId="20" fontId="6" numFmtId="0" xfId="0" applyAlignment="1" applyBorder="1" applyFont="1">
      <alignment horizontal="left" shrinkToFit="0" vertical="center" wrapText="1"/>
    </xf>
    <xf borderId="4" fillId="20" fontId="6" numFmtId="0" xfId="0" applyAlignment="1" applyBorder="1" applyFont="1">
      <alignment horizontal="left" shrinkToFit="0" vertical="center" wrapText="0"/>
    </xf>
    <xf borderId="4" fillId="11" fontId="6" numFmtId="0" xfId="0" applyAlignment="1" applyBorder="1" applyFont="1">
      <alignment horizontal="center" shrinkToFit="0" vertical="center" wrapText="0"/>
    </xf>
    <xf borderId="4" fillId="11" fontId="16" numFmtId="0" xfId="0" applyAlignment="1" applyBorder="1" applyFont="1">
      <alignment horizontal="left" shrinkToFit="0" vertical="center" wrapText="0"/>
    </xf>
    <xf borderId="4" fillId="11" fontId="6" numFmtId="0" xfId="0" applyAlignment="1" applyBorder="1" applyFont="1">
      <alignment horizontal="left" shrinkToFit="0" vertical="center" wrapText="1"/>
    </xf>
    <xf borderId="4" fillId="11" fontId="6" numFmtId="0" xfId="0" applyAlignment="1" applyBorder="1" applyFont="1">
      <alignment horizontal="left" shrinkToFit="0" vertical="center" wrapText="0"/>
    </xf>
    <xf borderId="4" fillId="21" fontId="6" numFmtId="0" xfId="0" applyAlignment="1" applyBorder="1" applyFill="1" applyFont="1">
      <alignment horizontal="center" shrinkToFit="0" vertical="center" wrapText="0"/>
    </xf>
    <xf borderId="4" fillId="21" fontId="16" numFmtId="0" xfId="0" applyAlignment="1" applyBorder="1" applyFont="1">
      <alignment horizontal="left" shrinkToFit="0" vertical="center" wrapText="0"/>
    </xf>
    <xf borderId="4" fillId="21" fontId="6" numFmtId="0" xfId="0" applyAlignment="1" applyBorder="1" applyFont="1">
      <alignment horizontal="left" shrinkToFit="0" vertical="center" wrapText="1"/>
    </xf>
    <xf borderId="4" fillId="21" fontId="6" numFmtId="0" xfId="0" applyAlignment="1" applyBorder="1" applyFont="1">
      <alignment horizontal="left" shrinkToFit="0" vertical="center" wrapText="0"/>
    </xf>
    <xf borderId="4" fillId="22" fontId="6" numFmtId="0" xfId="0" applyAlignment="1" applyBorder="1" applyFill="1" applyFont="1">
      <alignment horizontal="center" shrinkToFit="0" vertical="center" wrapText="0"/>
    </xf>
    <xf borderId="4" fillId="22" fontId="16" numFmtId="0" xfId="0" applyAlignment="1" applyBorder="1" applyFont="1">
      <alignment horizontal="left" shrinkToFit="0" vertical="center" wrapText="0"/>
    </xf>
    <xf borderId="4" fillId="22" fontId="6" numFmtId="0" xfId="0" applyAlignment="1" applyBorder="1" applyFont="1">
      <alignment horizontal="left" shrinkToFit="0" vertical="center" wrapText="1"/>
    </xf>
    <xf borderId="4" fillId="22" fontId="6" numFmtId="0" xfId="0" applyAlignment="1" applyBorder="1" applyFont="1">
      <alignment horizontal="left" shrinkToFit="0" vertical="center" wrapText="0"/>
    </xf>
    <xf borderId="1" fillId="14" fontId="5" numFmtId="0" xfId="0" applyAlignment="1" applyBorder="1" applyFont="1">
      <alignment horizontal="left" shrinkToFit="0" vertical="center" wrapText="0"/>
    </xf>
    <xf borderId="4" fillId="15" fontId="4" numFmtId="0" xfId="0" applyAlignment="1" applyBorder="1" applyFont="1">
      <alignment horizontal="center" shrinkToFit="0" vertical="center" wrapText="1"/>
    </xf>
    <xf borderId="4" fillId="5" fontId="6" numFmtId="0" xfId="0" applyAlignment="1" applyBorder="1" applyFont="1">
      <alignment horizontal="center" readingOrder="0" shrinkToFit="0" vertical="center" wrapText="0"/>
    </xf>
    <xf borderId="4" fillId="5" fontId="6" numFmtId="9" xfId="0" applyAlignment="1" applyBorder="1" applyFont="1" applyNumberFormat="1">
      <alignment horizontal="center" shrinkToFit="0" vertical="center" wrapText="0"/>
    </xf>
    <xf borderId="4" fillId="5" fontId="6" numFmtId="0" xfId="0" applyAlignment="1" applyBorder="1" applyFont="1">
      <alignment horizontal="center" shrinkToFit="0" vertical="center" wrapText="1"/>
    </xf>
    <xf borderId="4" fillId="4" fontId="6" numFmtId="9" xfId="0" applyAlignment="1" applyBorder="1" applyFont="1" applyNumberFormat="1">
      <alignment horizontal="center" shrinkToFit="0" vertical="center" wrapText="0"/>
    </xf>
    <xf borderId="4" fillId="4" fontId="6" numFmtId="0" xfId="0" applyAlignment="1" applyBorder="1" applyFont="1">
      <alignment horizontal="center" shrinkToFit="0" vertical="center" wrapText="1"/>
    </xf>
    <xf borderId="1" fillId="15" fontId="5" numFmtId="0" xfId="0" applyAlignment="1" applyBorder="1" applyFont="1">
      <alignment horizontal="left" shrinkToFit="0" vertical="center" wrapText="0"/>
    </xf>
    <xf borderId="4" fillId="10" fontId="13" numFmtId="2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3A5C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0"/>
    <col customWidth="1" min="2" max="2" width="13.0"/>
    <col customWidth="1" min="3" max="3" width="33.0"/>
    <col customWidth="1" min="4" max="4" width="20.0"/>
    <col customWidth="1" min="5" max="5" width="24.0"/>
    <col customWidth="1" min="6" max="6" width="13.0"/>
    <col customWidth="1" min="7" max="7" width="18.0"/>
    <col customWidth="1" min="8" max="8" width="7.71"/>
    <col customWidth="1" min="9" max="10" width="9.0"/>
    <col customWidth="1" min="11" max="11" width="21.86"/>
    <col customWidth="1" min="12" max="12" width="13.0"/>
    <col customWidth="1" min="13" max="13" width="10.0"/>
    <col customWidth="1" min="14" max="14" width="13.0"/>
    <col customWidth="1" min="15" max="15" width="32.0"/>
    <col customWidth="1" min="16" max="16" width="10.57"/>
    <col customWidth="1" min="17" max="17" width="20.0"/>
    <col customWidth="1" min="18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13.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 ht="25.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</row>
    <row r="4" ht="16.5" customHeight="1">
      <c r="A4" s="6" t="s">
        <v>19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ht="18.75" customHeight="1">
      <c r="A5" s="7">
        <v>1.0</v>
      </c>
      <c r="B5" s="8" t="s">
        <v>20</v>
      </c>
      <c r="C5" s="9" t="s">
        <v>21</v>
      </c>
      <c r="D5" s="8" t="s">
        <v>22</v>
      </c>
      <c r="E5" s="8" t="s">
        <v>23</v>
      </c>
      <c r="F5" s="8" t="s">
        <v>24</v>
      </c>
      <c r="G5" s="8" t="s">
        <v>25</v>
      </c>
      <c r="H5" s="7">
        <v>1.0</v>
      </c>
      <c r="I5" s="10">
        <v>9.85</v>
      </c>
      <c r="J5" s="10">
        <f t="shared" ref="J5:J16" si="1">H5*I5</f>
        <v>9.85</v>
      </c>
      <c r="K5" s="7" t="s">
        <v>26</v>
      </c>
      <c r="L5" s="7" t="s">
        <v>27</v>
      </c>
      <c r="M5" s="7" t="s">
        <v>28</v>
      </c>
      <c r="N5" s="8" t="s">
        <v>29</v>
      </c>
      <c r="O5" s="9" t="s">
        <v>30</v>
      </c>
      <c r="P5" s="7" t="s">
        <v>31</v>
      </c>
      <c r="Q5" s="9" t="s">
        <v>32</v>
      </c>
    </row>
    <row r="6" ht="18.75" customHeight="1">
      <c r="A6" s="11">
        <v>2.0</v>
      </c>
      <c r="B6" s="12" t="s">
        <v>33</v>
      </c>
      <c r="C6" s="13" t="s">
        <v>34</v>
      </c>
      <c r="D6" s="12" t="s">
        <v>35</v>
      </c>
      <c r="E6" s="12" t="s">
        <v>36</v>
      </c>
      <c r="F6" s="12" t="s">
        <v>37</v>
      </c>
      <c r="G6" s="12" t="s">
        <v>38</v>
      </c>
      <c r="H6" s="11">
        <v>1.0</v>
      </c>
      <c r="I6" s="14">
        <v>7.2</v>
      </c>
      <c r="J6" s="14">
        <f t="shared" si="1"/>
        <v>7.2</v>
      </c>
      <c r="K6" s="11" t="s">
        <v>39</v>
      </c>
      <c r="L6" s="11" t="s">
        <v>27</v>
      </c>
      <c r="M6" s="11" t="s">
        <v>28</v>
      </c>
      <c r="N6" s="12" t="s">
        <v>40</v>
      </c>
      <c r="O6" s="13" t="s">
        <v>41</v>
      </c>
      <c r="P6" s="11" t="s">
        <v>31</v>
      </c>
      <c r="Q6" s="13" t="s">
        <v>42</v>
      </c>
    </row>
    <row r="7" ht="27.75" customHeight="1">
      <c r="A7" s="7">
        <v>3.0</v>
      </c>
      <c r="B7" s="8" t="s">
        <v>43</v>
      </c>
      <c r="C7" s="9" t="s">
        <v>44</v>
      </c>
      <c r="D7" s="8" t="s">
        <v>45</v>
      </c>
      <c r="E7" s="8" t="s">
        <v>46</v>
      </c>
      <c r="F7" s="8" t="s">
        <v>47</v>
      </c>
      <c r="G7" s="8" t="s">
        <v>48</v>
      </c>
      <c r="H7" s="7">
        <v>1.0</v>
      </c>
      <c r="I7" s="10">
        <v>14.5</v>
      </c>
      <c r="J7" s="10">
        <f t="shared" si="1"/>
        <v>14.5</v>
      </c>
      <c r="K7" s="7" t="s">
        <v>49</v>
      </c>
      <c r="L7" s="7" t="s">
        <v>27</v>
      </c>
      <c r="M7" s="7" t="s">
        <v>28</v>
      </c>
      <c r="N7" s="8" t="s">
        <v>50</v>
      </c>
      <c r="O7" s="9" t="s">
        <v>51</v>
      </c>
      <c r="P7" s="7" t="s">
        <v>31</v>
      </c>
      <c r="Q7" s="9" t="s">
        <v>52</v>
      </c>
    </row>
    <row r="8" ht="18.75" customHeight="1">
      <c r="A8" s="11">
        <v>4.0</v>
      </c>
      <c r="B8" s="12" t="s">
        <v>53</v>
      </c>
      <c r="C8" s="13" t="s">
        <v>54</v>
      </c>
      <c r="D8" s="12" t="s">
        <v>22</v>
      </c>
      <c r="E8" s="12" t="s">
        <v>55</v>
      </c>
      <c r="F8" s="12" t="s">
        <v>56</v>
      </c>
      <c r="G8" s="12" t="s">
        <v>57</v>
      </c>
      <c r="H8" s="11">
        <v>1.0</v>
      </c>
      <c r="I8" s="14">
        <v>3.4</v>
      </c>
      <c r="J8" s="14">
        <f t="shared" si="1"/>
        <v>3.4</v>
      </c>
      <c r="K8" s="11" t="s">
        <v>58</v>
      </c>
      <c r="L8" s="11" t="s">
        <v>27</v>
      </c>
      <c r="M8" s="11" t="s">
        <v>28</v>
      </c>
      <c r="N8" s="12" t="s">
        <v>59</v>
      </c>
      <c r="O8" s="13" t="s">
        <v>60</v>
      </c>
      <c r="P8" s="11" t="s">
        <v>31</v>
      </c>
      <c r="Q8" s="13" t="s">
        <v>61</v>
      </c>
    </row>
    <row r="9" ht="18.75" customHeight="1">
      <c r="A9" s="7">
        <v>5.0</v>
      </c>
      <c r="B9" s="8" t="s">
        <v>62</v>
      </c>
      <c r="C9" s="9" t="s">
        <v>63</v>
      </c>
      <c r="D9" s="8" t="s">
        <v>64</v>
      </c>
      <c r="E9" s="8" t="s">
        <v>65</v>
      </c>
      <c r="F9" s="8" t="s">
        <v>66</v>
      </c>
      <c r="G9" s="8" t="s">
        <v>67</v>
      </c>
      <c r="H9" s="7">
        <v>1.0</v>
      </c>
      <c r="I9" s="10">
        <v>4.1</v>
      </c>
      <c r="J9" s="10">
        <f t="shared" si="1"/>
        <v>4.1</v>
      </c>
      <c r="K9" s="7" t="s">
        <v>68</v>
      </c>
      <c r="L9" s="7" t="s">
        <v>27</v>
      </c>
      <c r="M9" s="7" t="s">
        <v>28</v>
      </c>
      <c r="N9" s="8" t="s">
        <v>69</v>
      </c>
      <c r="O9" s="9" t="s">
        <v>70</v>
      </c>
      <c r="P9" s="7" t="s">
        <v>31</v>
      </c>
      <c r="Q9" s="9" t="s">
        <v>71</v>
      </c>
    </row>
    <row r="10" ht="18.75" customHeight="1">
      <c r="A10" s="11">
        <v>6.0</v>
      </c>
      <c r="B10" s="12" t="s">
        <v>72</v>
      </c>
      <c r="C10" s="13" t="s">
        <v>73</v>
      </c>
      <c r="D10" s="12" t="s">
        <v>64</v>
      </c>
      <c r="E10" s="12" t="s">
        <v>74</v>
      </c>
      <c r="F10" s="12" t="s">
        <v>75</v>
      </c>
      <c r="G10" s="12" t="s">
        <v>76</v>
      </c>
      <c r="H10" s="11">
        <v>1.0</v>
      </c>
      <c r="I10" s="14">
        <v>0.9</v>
      </c>
      <c r="J10" s="14">
        <f t="shared" si="1"/>
        <v>0.9</v>
      </c>
      <c r="K10" s="11" t="s">
        <v>77</v>
      </c>
      <c r="L10" s="11" t="s">
        <v>27</v>
      </c>
      <c r="M10" s="11" t="s">
        <v>28</v>
      </c>
      <c r="N10" s="12" t="s">
        <v>78</v>
      </c>
      <c r="O10" s="13" t="s">
        <v>79</v>
      </c>
      <c r="P10" s="11" t="s">
        <v>31</v>
      </c>
      <c r="Q10" s="13" t="s">
        <v>80</v>
      </c>
    </row>
    <row r="11" ht="18.75" customHeight="1">
      <c r="A11" s="7">
        <v>7.0</v>
      </c>
      <c r="B11" s="8" t="s">
        <v>81</v>
      </c>
      <c r="C11" s="9" t="s">
        <v>82</v>
      </c>
      <c r="D11" s="8" t="s">
        <v>83</v>
      </c>
      <c r="E11" s="8" t="s">
        <v>84</v>
      </c>
      <c r="F11" s="8" t="s">
        <v>85</v>
      </c>
      <c r="G11" s="8" t="s">
        <v>86</v>
      </c>
      <c r="H11" s="7">
        <v>1.0</v>
      </c>
      <c r="I11" s="10">
        <v>6.5</v>
      </c>
      <c r="J11" s="10">
        <f t="shared" si="1"/>
        <v>6.5</v>
      </c>
      <c r="K11" s="7" t="s">
        <v>87</v>
      </c>
      <c r="L11" s="7" t="s">
        <v>27</v>
      </c>
      <c r="M11" s="7" t="s">
        <v>28</v>
      </c>
      <c r="N11" s="8" t="s">
        <v>88</v>
      </c>
      <c r="O11" s="9" t="s">
        <v>89</v>
      </c>
      <c r="P11" s="7" t="s">
        <v>31</v>
      </c>
      <c r="Q11" s="9" t="s">
        <v>90</v>
      </c>
    </row>
    <row r="12" ht="18.75" customHeight="1">
      <c r="A12" s="11">
        <v>8.0</v>
      </c>
      <c r="B12" s="12" t="s">
        <v>91</v>
      </c>
      <c r="C12" s="13" t="s">
        <v>92</v>
      </c>
      <c r="D12" s="12" t="s">
        <v>93</v>
      </c>
      <c r="E12" s="12" t="s">
        <v>94</v>
      </c>
      <c r="F12" s="12" t="s">
        <v>95</v>
      </c>
      <c r="G12" s="12" t="s">
        <v>96</v>
      </c>
      <c r="H12" s="11">
        <v>1.0</v>
      </c>
      <c r="I12" s="14">
        <v>2.35</v>
      </c>
      <c r="J12" s="14">
        <f t="shared" si="1"/>
        <v>2.35</v>
      </c>
      <c r="K12" s="11" t="s">
        <v>97</v>
      </c>
      <c r="L12" s="11" t="s">
        <v>27</v>
      </c>
      <c r="M12" s="11" t="s">
        <v>28</v>
      </c>
      <c r="N12" s="12" t="s">
        <v>98</v>
      </c>
      <c r="O12" s="13" t="s">
        <v>99</v>
      </c>
      <c r="P12" s="11" t="s">
        <v>31</v>
      </c>
      <c r="Q12" s="13" t="s">
        <v>100</v>
      </c>
    </row>
    <row r="13" ht="18.75" customHeight="1">
      <c r="A13" s="7">
        <v>9.0</v>
      </c>
      <c r="B13" s="8" t="s">
        <v>101</v>
      </c>
      <c r="C13" s="9" t="s">
        <v>102</v>
      </c>
      <c r="D13" s="8" t="s">
        <v>93</v>
      </c>
      <c r="E13" s="8" t="s">
        <v>103</v>
      </c>
      <c r="F13" s="8" t="s">
        <v>104</v>
      </c>
      <c r="G13" s="8" t="s">
        <v>105</v>
      </c>
      <c r="H13" s="7">
        <v>1.0</v>
      </c>
      <c r="I13" s="10">
        <v>0.85</v>
      </c>
      <c r="J13" s="10">
        <f t="shared" si="1"/>
        <v>0.85</v>
      </c>
      <c r="K13" s="7" t="s">
        <v>97</v>
      </c>
      <c r="L13" s="7" t="s">
        <v>27</v>
      </c>
      <c r="M13" s="7" t="s">
        <v>28</v>
      </c>
      <c r="N13" s="8" t="s">
        <v>98</v>
      </c>
      <c r="O13" s="9" t="s">
        <v>106</v>
      </c>
      <c r="P13" s="7" t="s">
        <v>31</v>
      </c>
      <c r="Q13" s="9" t="s">
        <v>107</v>
      </c>
    </row>
    <row r="14" ht="27.75" customHeight="1">
      <c r="A14" s="11">
        <v>10.0</v>
      </c>
      <c r="B14" s="12" t="s">
        <v>108</v>
      </c>
      <c r="C14" s="13" t="s">
        <v>109</v>
      </c>
      <c r="D14" s="12" t="s">
        <v>93</v>
      </c>
      <c r="E14" s="12" t="s">
        <v>110</v>
      </c>
      <c r="F14" s="12" t="s">
        <v>111</v>
      </c>
      <c r="G14" s="12" t="s">
        <v>112</v>
      </c>
      <c r="H14" s="11">
        <v>1.0</v>
      </c>
      <c r="I14" s="14">
        <v>3.8</v>
      </c>
      <c r="J14" s="14">
        <f t="shared" si="1"/>
        <v>3.8</v>
      </c>
      <c r="K14" s="11" t="s">
        <v>113</v>
      </c>
      <c r="L14" s="11" t="s">
        <v>27</v>
      </c>
      <c r="M14" s="11" t="s">
        <v>28</v>
      </c>
      <c r="N14" s="12" t="s">
        <v>114</v>
      </c>
      <c r="O14" s="13" t="s">
        <v>115</v>
      </c>
      <c r="P14" s="11" t="s">
        <v>31</v>
      </c>
      <c r="Q14" s="13" t="s">
        <v>116</v>
      </c>
    </row>
    <row r="15" ht="27.75" customHeight="1">
      <c r="A15" s="7">
        <v>11.0</v>
      </c>
      <c r="B15" s="8" t="s">
        <v>117</v>
      </c>
      <c r="C15" s="9" t="s">
        <v>118</v>
      </c>
      <c r="D15" s="8" t="s">
        <v>119</v>
      </c>
      <c r="E15" s="8" t="s">
        <v>120</v>
      </c>
      <c r="F15" s="8" t="s">
        <v>121</v>
      </c>
      <c r="G15" s="8" t="s">
        <v>122</v>
      </c>
      <c r="H15" s="7">
        <v>1.0</v>
      </c>
      <c r="I15" s="10">
        <v>1.95</v>
      </c>
      <c r="J15" s="10">
        <f t="shared" si="1"/>
        <v>1.95</v>
      </c>
      <c r="K15" s="7" t="s">
        <v>123</v>
      </c>
      <c r="L15" s="7" t="s">
        <v>27</v>
      </c>
      <c r="M15" s="7" t="s">
        <v>28</v>
      </c>
      <c r="N15" s="8" t="s">
        <v>124</v>
      </c>
      <c r="O15" s="9" t="s">
        <v>125</v>
      </c>
      <c r="P15" s="7" t="s">
        <v>31</v>
      </c>
      <c r="Q15" s="9" t="s">
        <v>126</v>
      </c>
    </row>
    <row r="16" ht="18.75" customHeight="1">
      <c r="A16" s="11">
        <v>12.0</v>
      </c>
      <c r="B16" s="12" t="s">
        <v>127</v>
      </c>
      <c r="C16" s="13" t="s">
        <v>128</v>
      </c>
      <c r="D16" s="12" t="s">
        <v>93</v>
      </c>
      <c r="E16" s="12" t="s">
        <v>129</v>
      </c>
      <c r="F16" s="12" t="s">
        <v>130</v>
      </c>
      <c r="G16" s="12" t="s">
        <v>131</v>
      </c>
      <c r="H16" s="11">
        <v>1.0</v>
      </c>
      <c r="I16" s="14">
        <v>3.2</v>
      </c>
      <c r="J16" s="14">
        <f t="shared" si="1"/>
        <v>3.2</v>
      </c>
      <c r="K16" s="11" t="s">
        <v>132</v>
      </c>
      <c r="L16" s="11" t="s">
        <v>27</v>
      </c>
      <c r="M16" s="11" t="s">
        <v>28</v>
      </c>
      <c r="N16" s="12" t="s">
        <v>133</v>
      </c>
      <c r="O16" s="13" t="s">
        <v>134</v>
      </c>
      <c r="P16" s="11" t="s">
        <v>31</v>
      </c>
      <c r="Q16" s="13" t="s">
        <v>135</v>
      </c>
    </row>
    <row r="17" ht="16.5" customHeight="1">
      <c r="A17" s="6" t="s">
        <v>136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ht="54.75" customHeight="1">
      <c r="A18" s="7">
        <v>13.0</v>
      </c>
      <c r="B18" s="8" t="s">
        <v>137</v>
      </c>
      <c r="C18" s="9" t="s">
        <v>138</v>
      </c>
      <c r="D18" s="8" t="s">
        <v>139</v>
      </c>
      <c r="E18" s="8" t="s">
        <v>140</v>
      </c>
      <c r="F18" s="8" t="s">
        <v>141</v>
      </c>
      <c r="G18" s="8" t="s">
        <v>142</v>
      </c>
      <c r="H18" s="7">
        <v>1.0</v>
      </c>
      <c r="I18" s="10">
        <v>1.8</v>
      </c>
      <c r="J18" s="10">
        <f t="shared" ref="J18:J29" si="2">H18*I18</f>
        <v>1.8</v>
      </c>
      <c r="K18" s="7" t="s">
        <v>143</v>
      </c>
      <c r="L18" s="7" t="s">
        <v>27</v>
      </c>
      <c r="M18" s="7" t="s">
        <v>144</v>
      </c>
      <c r="N18" s="8" t="s">
        <v>145</v>
      </c>
      <c r="O18" s="9" t="s">
        <v>146</v>
      </c>
      <c r="P18" s="7" t="s">
        <v>31</v>
      </c>
      <c r="Q18" s="9" t="s">
        <v>147</v>
      </c>
    </row>
    <row r="19" ht="18.75" customHeight="1">
      <c r="A19" s="11">
        <v>14.0</v>
      </c>
      <c r="B19" s="12" t="s">
        <v>148</v>
      </c>
      <c r="C19" s="13" t="s">
        <v>149</v>
      </c>
      <c r="D19" s="12" t="s">
        <v>150</v>
      </c>
      <c r="E19" s="12" t="s">
        <v>151</v>
      </c>
      <c r="F19" s="12" t="s">
        <v>152</v>
      </c>
      <c r="G19" s="12" t="s">
        <v>153</v>
      </c>
      <c r="H19" s="11">
        <v>1.0</v>
      </c>
      <c r="I19" s="14">
        <v>0.42</v>
      </c>
      <c r="J19" s="14">
        <f t="shared" si="2"/>
        <v>0.42</v>
      </c>
      <c r="K19" s="11" t="s">
        <v>28</v>
      </c>
      <c r="L19" s="11" t="s">
        <v>27</v>
      </c>
      <c r="M19" s="11" t="s">
        <v>154</v>
      </c>
      <c r="N19" s="12" t="s">
        <v>155</v>
      </c>
      <c r="O19" s="13" t="s">
        <v>156</v>
      </c>
      <c r="P19" s="11" t="s">
        <v>31</v>
      </c>
      <c r="Q19" s="13" t="s">
        <v>157</v>
      </c>
    </row>
    <row r="20" ht="27.75" customHeight="1">
      <c r="A20" s="7">
        <v>15.0</v>
      </c>
      <c r="B20" s="8" t="s">
        <v>158</v>
      </c>
      <c r="C20" s="9" t="s">
        <v>159</v>
      </c>
      <c r="D20" s="8" t="s">
        <v>160</v>
      </c>
      <c r="E20" s="8" t="s">
        <v>161</v>
      </c>
      <c r="F20" s="8" t="s">
        <v>162</v>
      </c>
      <c r="G20" s="8" t="s">
        <v>163</v>
      </c>
      <c r="H20" s="7">
        <v>2.0</v>
      </c>
      <c r="I20" s="10">
        <v>0.18</v>
      </c>
      <c r="J20" s="10">
        <f t="shared" si="2"/>
        <v>0.36</v>
      </c>
      <c r="K20" s="7" t="s">
        <v>28</v>
      </c>
      <c r="L20" s="7" t="s">
        <v>164</v>
      </c>
      <c r="M20" s="7" t="s">
        <v>165</v>
      </c>
      <c r="N20" s="8" t="s">
        <v>166</v>
      </c>
      <c r="O20" s="9" t="s">
        <v>167</v>
      </c>
      <c r="P20" s="7" t="s">
        <v>31</v>
      </c>
      <c r="Q20" s="9" t="s">
        <v>161</v>
      </c>
    </row>
    <row r="21" ht="18.75" customHeight="1">
      <c r="A21" s="11">
        <v>16.0</v>
      </c>
      <c r="B21" s="12" t="s">
        <v>168</v>
      </c>
      <c r="C21" s="13" t="s">
        <v>169</v>
      </c>
      <c r="D21" s="12" t="s">
        <v>160</v>
      </c>
      <c r="E21" s="12" t="s">
        <v>170</v>
      </c>
      <c r="F21" s="12" t="s">
        <v>162</v>
      </c>
      <c r="G21" s="12" t="s">
        <v>171</v>
      </c>
      <c r="H21" s="11">
        <v>1.0</v>
      </c>
      <c r="I21" s="14">
        <v>0.18</v>
      </c>
      <c r="J21" s="14">
        <f t="shared" si="2"/>
        <v>0.18</v>
      </c>
      <c r="K21" s="11" t="s">
        <v>28</v>
      </c>
      <c r="L21" s="11" t="s">
        <v>164</v>
      </c>
      <c r="M21" s="11" t="s">
        <v>165</v>
      </c>
      <c r="N21" s="12" t="s">
        <v>166</v>
      </c>
      <c r="O21" s="13" t="s">
        <v>172</v>
      </c>
      <c r="P21" s="11" t="s">
        <v>31</v>
      </c>
      <c r="Q21" s="13" t="s">
        <v>170</v>
      </c>
    </row>
    <row r="22" ht="18.75" customHeight="1">
      <c r="A22" s="7">
        <v>17.0</v>
      </c>
      <c r="B22" s="8" t="s">
        <v>173</v>
      </c>
      <c r="C22" s="9" t="s">
        <v>174</v>
      </c>
      <c r="D22" s="8" t="s">
        <v>175</v>
      </c>
      <c r="E22" s="8" t="s">
        <v>176</v>
      </c>
      <c r="F22" s="8" t="s">
        <v>177</v>
      </c>
      <c r="G22" s="8" t="s">
        <v>178</v>
      </c>
      <c r="H22" s="7">
        <v>1.0</v>
      </c>
      <c r="I22" s="10">
        <v>0.45</v>
      </c>
      <c r="J22" s="10">
        <f t="shared" si="2"/>
        <v>0.45</v>
      </c>
      <c r="K22" s="7" t="s">
        <v>28</v>
      </c>
      <c r="L22" s="7" t="s">
        <v>179</v>
      </c>
      <c r="M22" s="7" t="s">
        <v>180</v>
      </c>
      <c r="N22" s="8" t="s">
        <v>181</v>
      </c>
      <c r="O22" s="9" t="s">
        <v>182</v>
      </c>
      <c r="P22" s="7" t="s">
        <v>31</v>
      </c>
      <c r="Q22" s="9" t="s">
        <v>183</v>
      </c>
    </row>
    <row r="23" ht="18.75" customHeight="1">
      <c r="A23" s="11">
        <v>18.0</v>
      </c>
      <c r="B23" s="12" t="s">
        <v>184</v>
      </c>
      <c r="C23" s="13" t="s">
        <v>185</v>
      </c>
      <c r="D23" s="12" t="s">
        <v>160</v>
      </c>
      <c r="E23" s="12" t="s">
        <v>186</v>
      </c>
      <c r="F23" s="12" t="s">
        <v>162</v>
      </c>
      <c r="G23" s="12" t="s">
        <v>187</v>
      </c>
      <c r="H23" s="11">
        <v>1.0</v>
      </c>
      <c r="I23" s="14">
        <v>0.18</v>
      </c>
      <c r="J23" s="14">
        <f t="shared" si="2"/>
        <v>0.18</v>
      </c>
      <c r="K23" s="11" t="s">
        <v>28</v>
      </c>
      <c r="L23" s="11" t="s">
        <v>164</v>
      </c>
      <c r="M23" s="11" t="s">
        <v>165</v>
      </c>
      <c r="N23" s="12" t="s">
        <v>166</v>
      </c>
      <c r="O23" s="13" t="s">
        <v>188</v>
      </c>
      <c r="P23" s="11" t="s">
        <v>31</v>
      </c>
      <c r="Q23" s="13" t="s">
        <v>28</v>
      </c>
    </row>
    <row r="24" ht="18.75" customHeight="1">
      <c r="A24" s="7">
        <v>19.0</v>
      </c>
      <c r="B24" s="8" t="s">
        <v>189</v>
      </c>
      <c r="C24" s="9" t="s">
        <v>190</v>
      </c>
      <c r="D24" s="8" t="s">
        <v>175</v>
      </c>
      <c r="E24" s="8" t="s">
        <v>191</v>
      </c>
      <c r="F24" s="8" t="s">
        <v>192</v>
      </c>
      <c r="G24" s="8" t="s">
        <v>193</v>
      </c>
      <c r="H24" s="7">
        <v>1.0</v>
      </c>
      <c r="I24" s="10">
        <v>0.12</v>
      </c>
      <c r="J24" s="10">
        <f t="shared" si="2"/>
        <v>0.12</v>
      </c>
      <c r="K24" s="7" t="s">
        <v>194</v>
      </c>
      <c r="L24" s="7" t="s">
        <v>27</v>
      </c>
      <c r="M24" s="7" t="s">
        <v>195</v>
      </c>
      <c r="N24" s="8" t="s">
        <v>196</v>
      </c>
      <c r="O24" s="9" t="s">
        <v>197</v>
      </c>
      <c r="P24" s="7" t="s">
        <v>31</v>
      </c>
      <c r="Q24" s="9" t="s">
        <v>198</v>
      </c>
    </row>
    <row r="25" ht="18.75" customHeight="1">
      <c r="A25" s="11">
        <v>20.0</v>
      </c>
      <c r="B25" s="12" t="s">
        <v>199</v>
      </c>
      <c r="C25" s="13" t="s">
        <v>200</v>
      </c>
      <c r="D25" s="12" t="s">
        <v>175</v>
      </c>
      <c r="E25" s="12" t="s">
        <v>201</v>
      </c>
      <c r="F25" s="12" t="s">
        <v>192</v>
      </c>
      <c r="G25" s="12" t="s">
        <v>202</v>
      </c>
      <c r="H25" s="11">
        <v>1.0</v>
      </c>
      <c r="I25" s="14">
        <v>0.12</v>
      </c>
      <c r="J25" s="14">
        <f t="shared" si="2"/>
        <v>0.12</v>
      </c>
      <c r="K25" s="11" t="s">
        <v>194</v>
      </c>
      <c r="L25" s="11" t="s">
        <v>27</v>
      </c>
      <c r="M25" s="11" t="s">
        <v>195</v>
      </c>
      <c r="N25" s="12" t="s">
        <v>196</v>
      </c>
      <c r="O25" s="13" t="s">
        <v>203</v>
      </c>
      <c r="P25" s="11" t="s">
        <v>31</v>
      </c>
      <c r="Q25" s="13" t="s">
        <v>204</v>
      </c>
    </row>
    <row r="26" ht="18.75" customHeight="1">
      <c r="A26" s="7">
        <v>21.0</v>
      </c>
      <c r="B26" s="8" t="s">
        <v>205</v>
      </c>
      <c r="C26" s="9" t="s">
        <v>206</v>
      </c>
      <c r="D26" s="8" t="s">
        <v>175</v>
      </c>
      <c r="E26" s="8" t="s">
        <v>201</v>
      </c>
      <c r="F26" s="8" t="s">
        <v>192</v>
      </c>
      <c r="G26" s="8" t="s">
        <v>207</v>
      </c>
      <c r="H26" s="7">
        <v>1.0</v>
      </c>
      <c r="I26" s="10">
        <v>0.12</v>
      </c>
      <c r="J26" s="10">
        <f t="shared" si="2"/>
        <v>0.12</v>
      </c>
      <c r="K26" s="7" t="s">
        <v>194</v>
      </c>
      <c r="L26" s="7" t="s">
        <v>27</v>
      </c>
      <c r="M26" s="7" t="s">
        <v>195</v>
      </c>
      <c r="N26" s="8" t="s">
        <v>196</v>
      </c>
      <c r="O26" s="9" t="s">
        <v>208</v>
      </c>
      <c r="P26" s="7" t="s">
        <v>31</v>
      </c>
      <c r="Q26" s="9" t="s">
        <v>204</v>
      </c>
    </row>
    <row r="27" ht="15.0" customHeight="1">
      <c r="A27" s="11">
        <v>22.0</v>
      </c>
      <c r="B27" s="12" t="s">
        <v>209</v>
      </c>
      <c r="C27" s="13" t="s">
        <v>210</v>
      </c>
      <c r="D27" s="12" t="s">
        <v>175</v>
      </c>
      <c r="E27" s="12" t="s">
        <v>191</v>
      </c>
      <c r="F27" s="12" t="s">
        <v>192</v>
      </c>
      <c r="G27" s="12" t="s">
        <v>211</v>
      </c>
      <c r="H27" s="11">
        <v>1.0</v>
      </c>
      <c r="I27" s="14">
        <v>0.12</v>
      </c>
      <c r="J27" s="14">
        <f t="shared" si="2"/>
        <v>0.12</v>
      </c>
      <c r="K27" s="11" t="s">
        <v>194</v>
      </c>
      <c r="L27" s="11" t="s">
        <v>27</v>
      </c>
      <c r="M27" s="11" t="s">
        <v>195</v>
      </c>
      <c r="N27" s="12" t="s">
        <v>196</v>
      </c>
      <c r="O27" s="13" t="s">
        <v>212</v>
      </c>
      <c r="P27" s="11" t="s">
        <v>31</v>
      </c>
      <c r="Q27" s="13" t="s">
        <v>198</v>
      </c>
    </row>
    <row r="28" ht="18.75" customHeight="1">
      <c r="A28" s="7">
        <v>23.0</v>
      </c>
      <c r="B28" s="8" t="s">
        <v>213</v>
      </c>
      <c r="C28" s="9" t="s">
        <v>214</v>
      </c>
      <c r="D28" s="8" t="s">
        <v>160</v>
      </c>
      <c r="E28" s="8" t="s">
        <v>215</v>
      </c>
      <c r="F28" s="8" t="s">
        <v>192</v>
      </c>
      <c r="G28" s="8" t="s">
        <v>216</v>
      </c>
      <c r="H28" s="7">
        <v>1.0</v>
      </c>
      <c r="I28" s="10">
        <v>0.12</v>
      </c>
      <c r="J28" s="10">
        <f t="shared" si="2"/>
        <v>0.12</v>
      </c>
      <c r="K28" s="7" t="s">
        <v>194</v>
      </c>
      <c r="L28" s="7" t="s">
        <v>27</v>
      </c>
      <c r="M28" s="7" t="s">
        <v>195</v>
      </c>
      <c r="N28" s="8" t="s">
        <v>196</v>
      </c>
      <c r="O28" s="9" t="s">
        <v>217</v>
      </c>
      <c r="P28" s="7" t="s">
        <v>31</v>
      </c>
      <c r="Q28" s="9" t="s">
        <v>201</v>
      </c>
    </row>
    <row r="29" ht="18.75" customHeight="1">
      <c r="A29" s="11">
        <v>24.0</v>
      </c>
      <c r="B29" s="12" t="s">
        <v>218</v>
      </c>
      <c r="C29" s="13" t="s">
        <v>219</v>
      </c>
      <c r="D29" s="12" t="s">
        <v>175</v>
      </c>
      <c r="E29" s="12" t="s">
        <v>220</v>
      </c>
      <c r="F29" s="12" t="s">
        <v>192</v>
      </c>
      <c r="G29" s="12" t="s">
        <v>221</v>
      </c>
      <c r="H29" s="11">
        <v>1.0</v>
      </c>
      <c r="I29" s="14">
        <v>0.12</v>
      </c>
      <c r="J29" s="14">
        <f t="shared" si="2"/>
        <v>0.12</v>
      </c>
      <c r="K29" s="11" t="s">
        <v>194</v>
      </c>
      <c r="L29" s="11" t="s">
        <v>27</v>
      </c>
      <c r="M29" s="11" t="s">
        <v>195</v>
      </c>
      <c r="N29" s="12" t="s">
        <v>196</v>
      </c>
      <c r="O29" s="13" t="s">
        <v>222</v>
      </c>
      <c r="P29" s="11" t="s">
        <v>31</v>
      </c>
      <c r="Q29" s="13" t="s">
        <v>28</v>
      </c>
    </row>
    <row r="30" ht="16.5" customHeight="1">
      <c r="A30" s="6" t="s">
        <v>223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ht="18.75" customHeight="1">
      <c r="A31" s="7">
        <v>25.0</v>
      </c>
      <c r="B31" s="8" t="s">
        <v>224</v>
      </c>
      <c r="C31" s="9" t="s">
        <v>225</v>
      </c>
      <c r="D31" s="8" t="s">
        <v>160</v>
      </c>
      <c r="E31" s="8" t="s">
        <v>226</v>
      </c>
      <c r="F31" s="8" t="s">
        <v>162</v>
      </c>
      <c r="G31" s="8" t="s">
        <v>227</v>
      </c>
      <c r="H31" s="7">
        <v>10.0</v>
      </c>
      <c r="I31" s="10">
        <v>0.02</v>
      </c>
      <c r="J31" s="10">
        <f t="shared" ref="J31:J47" si="3">H31*I31</f>
        <v>0.2</v>
      </c>
      <c r="K31" s="7" t="s">
        <v>228</v>
      </c>
      <c r="L31" s="7" t="s">
        <v>164</v>
      </c>
      <c r="M31" s="7" t="s">
        <v>229</v>
      </c>
      <c r="N31" s="8" t="s">
        <v>230</v>
      </c>
      <c r="O31" s="9" t="s">
        <v>231</v>
      </c>
      <c r="P31" s="7" t="s">
        <v>31</v>
      </c>
      <c r="Q31" s="9" t="s">
        <v>232</v>
      </c>
    </row>
    <row r="32" ht="15.0" customHeight="1">
      <c r="A32" s="11">
        <v>26.0</v>
      </c>
      <c r="B32" s="12" t="s">
        <v>233</v>
      </c>
      <c r="C32" s="13" t="s">
        <v>234</v>
      </c>
      <c r="D32" s="12" t="s">
        <v>160</v>
      </c>
      <c r="E32" s="12" t="s">
        <v>235</v>
      </c>
      <c r="F32" s="12" t="s">
        <v>192</v>
      </c>
      <c r="G32" s="12" t="s">
        <v>236</v>
      </c>
      <c r="H32" s="11">
        <v>4.0</v>
      </c>
      <c r="I32" s="14">
        <v>0.08</v>
      </c>
      <c r="J32" s="14">
        <f t="shared" si="3"/>
        <v>0.32</v>
      </c>
      <c r="K32" s="11" t="s">
        <v>237</v>
      </c>
      <c r="L32" s="11" t="s">
        <v>238</v>
      </c>
      <c r="M32" s="11" t="s">
        <v>229</v>
      </c>
      <c r="N32" s="12" t="s">
        <v>230</v>
      </c>
      <c r="O32" s="13" t="s">
        <v>239</v>
      </c>
      <c r="P32" s="11" t="s">
        <v>31</v>
      </c>
      <c r="Q32" s="13" t="s">
        <v>240</v>
      </c>
    </row>
    <row r="33" ht="18.75" customHeight="1">
      <c r="A33" s="7">
        <v>27.0</v>
      </c>
      <c r="B33" s="8" t="s">
        <v>241</v>
      </c>
      <c r="C33" s="9" t="s">
        <v>242</v>
      </c>
      <c r="D33" s="8" t="s">
        <v>243</v>
      </c>
      <c r="E33" s="8" t="s">
        <v>232</v>
      </c>
      <c r="F33" s="8" t="s">
        <v>162</v>
      </c>
      <c r="G33" s="8" t="s">
        <v>227</v>
      </c>
      <c r="H33" s="7">
        <v>8.0</v>
      </c>
      <c r="I33" s="10">
        <v>0.02</v>
      </c>
      <c r="J33" s="10">
        <f t="shared" si="3"/>
        <v>0.16</v>
      </c>
      <c r="K33" s="7" t="s">
        <v>228</v>
      </c>
      <c r="L33" s="7" t="s">
        <v>164</v>
      </c>
      <c r="M33" s="7" t="s">
        <v>229</v>
      </c>
      <c r="N33" s="8" t="s">
        <v>230</v>
      </c>
      <c r="O33" s="9" t="s">
        <v>244</v>
      </c>
      <c r="P33" s="7" t="s">
        <v>31</v>
      </c>
      <c r="Q33" s="9" t="s">
        <v>226</v>
      </c>
    </row>
    <row r="34" ht="18.75" customHeight="1">
      <c r="A34" s="11">
        <v>28.0</v>
      </c>
      <c r="B34" s="12" t="s">
        <v>245</v>
      </c>
      <c r="C34" s="13" t="s">
        <v>246</v>
      </c>
      <c r="D34" s="12" t="s">
        <v>160</v>
      </c>
      <c r="E34" s="12" t="s">
        <v>235</v>
      </c>
      <c r="F34" s="12" t="s">
        <v>192</v>
      </c>
      <c r="G34" s="12" t="s">
        <v>247</v>
      </c>
      <c r="H34" s="11">
        <v>2.0</v>
      </c>
      <c r="I34" s="14">
        <v>0.08</v>
      </c>
      <c r="J34" s="14">
        <f t="shared" si="3"/>
        <v>0.16</v>
      </c>
      <c r="K34" s="11" t="s">
        <v>237</v>
      </c>
      <c r="L34" s="11" t="s">
        <v>238</v>
      </c>
      <c r="M34" s="11" t="s">
        <v>229</v>
      </c>
      <c r="N34" s="12" t="s">
        <v>230</v>
      </c>
      <c r="O34" s="13" t="s">
        <v>248</v>
      </c>
      <c r="P34" s="11" t="s">
        <v>31</v>
      </c>
      <c r="Q34" s="13" t="s">
        <v>240</v>
      </c>
    </row>
    <row r="35" ht="18.75" customHeight="1">
      <c r="A35" s="7">
        <v>29.0</v>
      </c>
      <c r="B35" s="8" t="s">
        <v>249</v>
      </c>
      <c r="C35" s="9" t="s">
        <v>250</v>
      </c>
      <c r="D35" s="8" t="s">
        <v>160</v>
      </c>
      <c r="E35" s="8" t="s">
        <v>226</v>
      </c>
      <c r="F35" s="8" t="s">
        <v>162</v>
      </c>
      <c r="G35" s="8" t="s">
        <v>251</v>
      </c>
      <c r="H35" s="7">
        <v>6.0</v>
      </c>
      <c r="I35" s="10">
        <v>0.02</v>
      </c>
      <c r="J35" s="10">
        <f t="shared" si="3"/>
        <v>0.12</v>
      </c>
      <c r="K35" s="7" t="s">
        <v>228</v>
      </c>
      <c r="L35" s="7" t="s">
        <v>164</v>
      </c>
      <c r="M35" s="7" t="s">
        <v>229</v>
      </c>
      <c r="N35" s="8" t="s">
        <v>230</v>
      </c>
      <c r="O35" s="9" t="s">
        <v>252</v>
      </c>
      <c r="P35" s="7" t="s">
        <v>31</v>
      </c>
      <c r="Q35" s="9" t="s">
        <v>232</v>
      </c>
    </row>
    <row r="36" ht="15.0" customHeight="1">
      <c r="A36" s="11">
        <v>30.0</v>
      </c>
      <c r="B36" s="12" t="s">
        <v>253</v>
      </c>
      <c r="C36" s="13" t="s">
        <v>254</v>
      </c>
      <c r="D36" s="12" t="s">
        <v>243</v>
      </c>
      <c r="E36" s="12" t="s">
        <v>240</v>
      </c>
      <c r="F36" s="12" t="s">
        <v>192</v>
      </c>
      <c r="G36" s="12" t="s">
        <v>247</v>
      </c>
      <c r="H36" s="11">
        <v>2.0</v>
      </c>
      <c r="I36" s="14">
        <v>0.08</v>
      </c>
      <c r="J36" s="14">
        <f t="shared" si="3"/>
        <v>0.16</v>
      </c>
      <c r="K36" s="11" t="s">
        <v>237</v>
      </c>
      <c r="L36" s="11" t="s">
        <v>238</v>
      </c>
      <c r="M36" s="11" t="s">
        <v>229</v>
      </c>
      <c r="N36" s="12" t="s">
        <v>230</v>
      </c>
      <c r="O36" s="13" t="s">
        <v>255</v>
      </c>
      <c r="P36" s="11" t="s">
        <v>31</v>
      </c>
      <c r="Q36" s="13" t="s">
        <v>235</v>
      </c>
    </row>
    <row r="37" ht="18.75" customHeight="1">
      <c r="A37" s="7">
        <v>31.0</v>
      </c>
      <c r="B37" s="8" t="s">
        <v>256</v>
      </c>
      <c r="C37" s="9" t="s">
        <v>257</v>
      </c>
      <c r="D37" s="8" t="s">
        <v>258</v>
      </c>
      <c r="E37" s="8" t="s">
        <v>259</v>
      </c>
      <c r="F37" s="8" t="s">
        <v>260</v>
      </c>
      <c r="G37" s="8" t="s">
        <v>261</v>
      </c>
      <c r="H37" s="7">
        <v>1.0</v>
      </c>
      <c r="I37" s="10">
        <v>0.22</v>
      </c>
      <c r="J37" s="10">
        <f t="shared" si="3"/>
        <v>0.22</v>
      </c>
      <c r="K37" s="7" t="s">
        <v>237</v>
      </c>
      <c r="L37" s="7" t="s">
        <v>179</v>
      </c>
      <c r="M37" s="7" t="s">
        <v>180</v>
      </c>
      <c r="N37" s="8" t="s">
        <v>262</v>
      </c>
      <c r="O37" s="9" t="s">
        <v>263</v>
      </c>
      <c r="P37" s="7" t="s">
        <v>31</v>
      </c>
      <c r="Q37" s="9" t="s">
        <v>264</v>
      </c>
    </row>
    <row r="38" ht="18.75" customHeight="1">
      <c r="A38" s="11">
        <v>32.0</v>
      </c>
      <c r="B38" s="12" t="s">
        <v>265</v>
      </c>
      <c r="C38" s="13" t="s">
        <v>266</v>
      </c>
      <c r="D38" s="12" t="s">
        <v>160</v>
      </c>
      <c r="E38" s="12" t="s">
        <v>226</v>
      </c>
      <c r="F38" s="12" t="s">
        <v>162</v>
      </c>
      <c r="G38" s="12" t="s">
        <v>251</v>
      </c>
      <c r="H38" s="11">
        <v>4.0</v>
      </c>
      <c r="I38" s="14">
        <v>0.02</v>
      </c>
      <c r="J38" s="14">
        <f t="shared" si="3"/>
        <v>0.08</v>
      </c>
      <c r="K38" s="11" t="s">
        <v>228</v>
      </c>
      <c r="L38" s="11" t="s">
        <v>164</v>
      </c>
      <c r="M38" s="11" t="s">
        <v>229</v>
      </c>
      <c r="N38" s="12" t="s">
        <v>230</v>
      </c>
      <c r="O38" s="13" t="s">
        <v>267</v>
      </c>
      <c r="P38" s="11" t="s">
        <v>31</v>
      </c>
      <c r="Q38" s="13" t="s">
        <v>232</v>
      </c>
    </row>
    <row r="39" ht="18.75" customHeight="1">
      <c r="A39" s="7">
        <v>33.0</v>
      </c>
      <c r="B39" s="8" t="s">
        <v>268</v>
      </c>
      <c r="C39" s="9" t="s">
        <v>269</v>
      </c>
      <c r="D39" s="8" t="s">
        <v>160</v>
      </c>
      <c r="E39" s="8" t="s">
        <v>226</v>
      </c>
      <c r="F39" s="8" t="s">
        <v>162</v>
      </c>
      <c r="G39" s="8" t="s">
        <v>251</v>
      </c>
      <c r="H39" s="7">
        <v>4.0</v>
      </c>
      <c r="I39" s="10">
        <v>0.02</v>
      </c>
      <c r="J39" s="10">
        <f t="shared" si="3"/>
        <v>0.08</v>
      </c>
      <c r="K39" s="7" t="s">
        <v>228</v>
      </c>
      <c r="L39" s="7" t="s">
        <v>164</v>
      </c>
      <c r="M39" s="7" t="s">
        <v>229</v>
      </c>
      <c r="N39" s="8" t="s">
        <v>230</v>
      </c>
      <c r="O39" s="9" t="s">
        <v>270</v>
      </c>
      <c r="P39" s="7" t="s">
        <v>31</v>
      </c>
      <c r="Q39" s="9" t="s">
        <v>232</v>
      </c>
    </row>
    <row r="40" ht="18.75" customHeight="1">
      <c r="A40" s="11">
        <v>34.0</v>
      </c>
      <c r="B40" s="12" t="s">
        <v>271</v>
      </c>
      <c r="C40" s="13" t="s">
        <v>272</v>
      </c>
      <c r="D40" s="12" t="s">
        <v>160</v>
      </c>
      <c r="E40" s="12" t="s">
        <v>273</v>
      </c>
      <c r="F40" s="12" t="s">
        <v>162</v>
      </c>
      <c r="G40" s="12" t="s">
        <v>274</v>
      </c>
      <c r="H40" s="11">
        <v>4.0</v>
      </c>
      <c r="I40" s="14">
        <v>0.03</v>
      </c>
      <c r="J40" s="14">
        <f t="shared" si="3"/>
        <v>0.12</v>
      </c>
      <c r="K40" s="11" t="s">
        <v>275</v>
      </c>
      <c r="L40" s="11" t="s">
        <v>164</v>
      </c>
      <c r="M40" s="11" t="s">
        <v>276</v>
      </c>
      <c r="N40" s="12" t="s">
        <v>277</v>
      </c>
      <c r="O40" s="13" t="s">
        <v>278</v>
      </c>
      <c r="P40" s="11" t="s">
        <v>31</v>
      </c>
      <c r="Q40" s="13" t="s">
        <v>279</v>
      </c>
    </row>
    <row r="41" ht="18.75" customHeight="1">
      <c r="A41" s="7">
        <v>35.0</v>
      </c>
      <c r="B41" s="8" t="s">
        <v>280</v>
      </c>
      <c r="C41" s="9" t="s">
        <v>281</v>
      </c>
      <c r="D41" s="8" t="s">
        <v>160</v>
      </c>
      <c r="E41" s="8" t="s">
        <v>282</v>
      </c>
      <c r="F41" s="8" t="s">
        <v>162</v>
      </c>
      <c r="G41" s="8" t="s">
        <v>283</v>
      </c>
      <c r="H41" s="7">
        <v>4.0</v>
      </c>
      <c r="I41" s="10">
        <v>0.04</v>
      </c>
      <c r="J41" s="10">
        <f t="shared" si="3"/>
        <v>0.16</v>
      </c>
      <c r="K41" s="7" t="s">
        <v>275</v>
      </c>
      <c r="L41" s="7" t="s">
        <v>164</v>
      </c>
      <c r="M41" s="7" t="s">
        <v>276</v>
      </c>
      <c r="N41" s="8" t="s">
        <v>284</v>
      </c>
      <c r="O41" s="9" t="s">
        <v>285</v>
      </c>
      <c r="P41" s="7" t="s">
        <v>31</v>
      </c>
      <c r="Q41" s="9" t="s">
        <v>282</v>
      </c>
    </row>
    <row r="42" ht="18.75" customHeight="1">
      <c r="A42" s="11">
        <v>36.0</v>
      </c>
      <c r="B42" s="12" t="s">
        <v>286</v>
      </c>
      <c r="C42" s="13" t="s">
        <v>287</v>
      </c>
      <c r="D42" s="12" t="s">
        <v>160</v>
      </c>
      <c r="E42" s="12" t="s">
        <v>288</v>
      </c>
      <c r="F42" s="12" t="s">
        <v>162</v>
      </c>
      <c r="G42" s="12" t="s">
        <v>289</v>
      </c>
      <c r="H42" s="11">
        <v>2.0</v>
      </c>
      <c r="I42" s="14">
        <v>0.04</v>
      </c>
      <c r="J42" s="14">
        <f t="shared" si="3"/>
        <v>0.08</v>
      </c>
      <c r="K42" s="11" t="s">
        <v>275</v>
      </c>
      <c r="L42" s="11" t="s">
        <v>164</v>
      </c>
      <c r="M42" s="11" t="s">
        <v>276</v>
      </c>
      <c r="N42" s="12" t="s">
        <v>290</v>
      </c>
      <c r="O42" s="13" t="s">
        <v>291</v>
      </c>
      <c r="P42" s="11" t="s">
        <v>31</v>
      </c>
      <c r="Q42" s="13" t="s">
        <v>288</v>
      </c>
    </row>
    <row r="43" ht="18.75" customHeight="1">
      <c r="A43" s="7">
        <v>37.0</v>
      </c>
      <c r="B43" s="8" t="s">
        <v>292</v>
      </c>
      <c r="C43" s="9" t="s">
        <v>293</v>
      </c>
      <c r="D43" s="8" t="s">
        <v>258</v>
      </c>
      <c r="E43" s="8" t="s">
        <v>294</v>
      </c>
      <c r="F43" s="8" t="s">
        <v>295</v>
      </c>
      <c r="G43" s="8" t="s">
        <v>296</v>
      </c>
      <c r="H43" s="7">
        <v>2.0</v>
      </c>
      <c r="I43" s="10">
        <v>0.28</v>
      </c>
      <c r="J43" s="10">
        <f t="shared" si="3"/>
        <v>0.56</v>
      </c>
      <c r="K43" s="7" t="s">
        <v>237</v>
      </c>
      <c r="L43" s="7" t="s">
        <v>179</v>
      </c>
      <c r="M43" s="7" t="s">
        <v>180</v>
      </c>
      <c r="N43" s="8" t="s">
        <v>262</v>
      </c>
      <c r="O43" s="9" t="s">
        <v>297</v>
      </c>
      <c r="P43" s="7" t="s">
        <v>31</v>
      </c>
      <c r="Q43" s="9" t="s">
        <v>298</v>
      </c>
    </row>
    <row r="44" ht="18.75" customHeight="1">
      <c r="A44" s="11">
        <v>38.0</v>
      </c>
      <c r="B44" s="12" t="s">
        <v>299</v>
      </c>
      <c r="C44" s="13" t="s">
        <v>300</v>
      </c>
      <c r="D44" s="12" t="s">
        <v>160</v>
      </c>
      <c r="E44" s="12" t="s">
        <v>301</v>
      </c>
      <c r="F44" s="12" t="s">
        <v>192</v>
      </c>
      <c r="G44" s="12" t="s">
        <v>302</v>
      </c>
      <c r="H44" s="11">
        <v>4.0</v>
      </c>
      <c r="I44" s="14">
        <v>0.05</v>
      </c>
      <c r="J44" s="14">
        <f t="shared" si="3"/>
        <v>0.2</v>
      </c>
      <c r="K44" s="11" t="s">
        <v>237</v>
      </c>
      <c r="L44" s="11" t="s">
        <v>238</v>
      </c>
      <c r="M44" s="11" t="s">
        <v>229</v>
      </c>
      <c r="N44" s="12" t="s">
        <v>230</v>
      </c>
      <c r="O44" s="13" t="s">
        <v>303</v>
      </c>
      <c r="P44" s="11" t="s">
        <v>31</v>
      </c>
      <c r="Q44" s="13" t="s">
        <v>304</v>
      </c>
    </row>
    <row r="45" ht="18.75" customHeight="1">
      <c r="A45" s="7">
        <v>39.0</v>
      </c>
      <c r="B45" s="8" t="s">
        <v>305</v>
      </c>
      <c r="C45" s="9" t="s">
        <v>306</v>
      </c>
      <c r="D45" s="8" t="s">
        <v>243</v>
      </c>
      <c r="E45" s="8" t="s">
        <v>307</v>
      </c>
      <c r="F45" s="8" t="s">
        <v>192</v>
      </c>
      <c r="G45" s="8" t="s">
        <v>308</v>
      </c>
      <c r="H45" s="7">
        <v>4.0</v>
      </c>
      <c r="I45" s="10">
        <v>0.06</v>
      </c>
      <c r="J45" s="10">
        <f t="shared" si="3"/>
        <v>0.24</v>
      </c>
      <c r="K45" s="7" t="s">
        <v>237</v>
      </c>
      <c r="L45" s="7" t="s">
        <v>238</v>
      </c>
      <c r="M45" s="7" t="s">
        <v>229</v>
      </c>
      <c r="N45" s="8" t="s">
        <v>230</v>
      </c>
      <c r="O45" s="9" t="s">
        <v>309</v>
      </c>
      <c r="P45" s="7" t="s">
        <v>31</v>
      </c>
      <c r="Q45" s="9" t="s">
        <v>310</v>
      </c>
    </row>
    <row r="46" ht="18.75" customHeight="1">
      <c r="A46" s="11">
        <v>40.0</v>
      </c>
      <c r="B46" s="12" t="s">
        <v>311</v>
      </c>
      <c r="C46" s="13" t="s">
        <v>312</v>
      </c>
      <c r="D46" s="12" t="s">
        <v>160</v>
      </c>
      <c r="E46" s="12" t="s">
        <v>226</v>
      </c>
      <c r="F46" s="12" t="s">
        <v>162</v>
      </c>
      <c r="G46" s="12" t="s">
        <v>251</v>
      </c>
      <c r="H46" s="11">
        <v>4.0</v>
      </c>
      <c r="I46" s="14">
        <v>0.02</v>
      </c>
      <c r="J46" s="14">
        <f t="shared" si="3"/>
        <v>0.08</v>
      </c>
      <c r="K46" s="11" t="s">
        <v>228</v>
      </c>
      <c r="L46" s="11" t="s">
        <v>164</v>
      </c>
      <c r="M46" s="11" t="s">
        <v>229</v>
      </c>
      <c r="N46" s="12" t="s">
        <v>230</v>
      </c>
      <c r="O46" s="13" t="s">
        <v>313</v>
      </c>
      <c r="P46" s="11" t="s">
        <v>31</v>
      </c>
      <c r="Q46" s="13" t="s">
        <v>232</v>
      </c>
    </row>
    <row r="47" ht="18.75" customHeight="1">
      <c r="A47" s="7">
        <v>41.0</v>
      </c>
      <c r="B47" s="8" t="s">
        <v>314</v>
      </c>
      <c r="C47" s="9" t="s">
        <v>315</v>
      </c>
      <c r="D47" s="8" t="s">
        <v>160</v>
      </c>
      <c r="E47" s="8" t="s">
        <v>316</v>
      </c>
      <c r="F47" s="8" t="s">
        <v>317</v>
      </c>
      <c r="G47" s="8" t="s">
        <v>318</v>
      </c>
      <c r="H47" s="7">
        <v>2.0</v>
      </c>
      <c r="I47" s="10">
        <v>0.12</v>
      </c>
      <c r="J47" s="10">
        <f t="shared" si="3"/>
        <v>0.24</v>
      </c>
      <c r="K47" s="7" t="s">
        <v>228</v>
      </c>
      <c r="L47" s="7" t="s">
        <v>238</v>
      </c>
      <c r="M47" s="7" t="s">
        <v>229</v>
      </c>
      <c r="N47" s="8" t="s">
        <v>230</v>
      </c>
      <c r="O47" s="9" t="s">
        <v>319</v>
      </c>
      <c r="P47" s="7" t="s">
        <v>31</v>
      </c>
      <c r="Q47" s="9" t="s">
        <v>320</v>
      </c>
    </row>
    <row r="48" ht="16.5" customHeight="1">
      <c r="A48" s="6" t="s">
        <v>321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 ht="18.75" customHeight="1">
      <c r="A49" s="11">
        <v>42.0</v>
      </c>
      <c r="B49" s="12" t="s">
        <v>322</v>
      </c>
      <c r="C49" s="13" t="s">
        <v>323</v>
      </c>
      <c r="D49" s="12" t="s">
        <v>324</v>
      </c>
      <c r="E49" s="12" t="s">
        <v>325</v>
      </c>
      <c r="F49" s="12" t="s">
        <v>162</v>
      </c>
      <c r="G49" s="12" t="s">
        <v>326</v>
      </c>
      <c r="H49" s="11">
        <v>8.0</v>
      </c>
      <c r="I49" s="14">
        <v>0.01</v>
      </c>
      <c r="J49" s="14">
        <f t="shared" ref="J49:J60" si="4">H49*I49</f>
        <v>0.08</v>
      </c>
      <c r="K49" s="11" t="s">
        <v>275</v>
      </c>
      <c r="L49" s="11" t="s">
        <v>327</v>
      </c>
      <c r="M49" s="11" t="s">
        <v>328</v>
      </c>
      <c r="N49" s="12" t="s">
        <v>329</v>
      </c>
      <c r="O49" s="13" t="s">
        <v>330</v>
      </c>
      <c r="P49" s="11" t="s">
        <v>31</v>
      </c>
      <c r="Q49" s="13" t="s">
        <v>331</v>
      </c>
    </row>
    <row r="50" ht="18.75" customHeight="1">
      <c r="A50" s="7">
        <v>43.0</v>
      </c>
      <c r="B50" s="8" t="s">
        <v>332</v>
      </c>
      <c r="C50" s="9" t="s">
        <v>333</v>
      </c>
      <c r="D50" s="8" t="s">
        <v>324</v>
      </c>
      <c r="E50" s="8" t="s">
        <v>334</v>
      </c>
      <c r="F50" s="8" t="s">
        <v>162</v>
      </c>
      <c r="G50" s="8" t="s">
        <v>335</v>
      </c>
      <c r="H50" s="7">
        <v>4.0</v>
      </c>
      <c r="I50" s="10">
        <v>0.01</v>
      </c>
      <c r="J50" s="10">
        <f t="shared" si="4"/>
        <v>0.04</v>
      </c>
      <c r="K50" s="7" t="s">
        <v>275</v>
      </c>
      <c r="L50" s="7" t="s">
        <v>327</v>
      </c>
      <c r="M50" s="7" t="s">
        <v>328</v>
      </c>
      <c r="N50" s="8" t="s">
        <v>329</v>
      </c>
      <c r="O50" s="9" t="s">
        <v>336</v>
      </c>
      <c r="P50" s="7" t="s">
        <v>31</v>
      </c>
      <c r="Q50" s="9" t="s">
        <v>337</v>
      </c>
    </row>
    <row r="51" ht="27.75" customHeight="1">
      <c r="A51" s="11">
        <v>44.0</v>
      </c>
      <c r="B51" s="12" t="s">
        <v>338</v>
      </c>
      <c r="C51" s="13" t="s">
        <v>339</v>
      </c>
      <c r="D51" s="12" t="s">
        <v>324</v>
      </c>
      <c r="E51" s="12" t="s">
        <v>340</v>
      </c>
      <c r="F51" s="12" t="s">
        <v>162</v>
      </c>
      <c r="G51" s="12" t="s">
        <v>341</v>
      </c>
      <c r="H51" s="11">
        <v>9.0</v>
      </c>
      <c r="I51" s="14">
        <v>0.01</v>
      </c>
      <c r="J51" s="14">
        <f t="shared" si="4"/>
        <v>0.09</v>
      </c>
      <c r="K51" s="11" t="s">
        <v>275</v>
      </c>
      <c r="L51" s="11" t="s">
        <v>327</v>
      </c>
      <c r="M51" s="11" t="s">
        <v>328</v>
      </c>
      <c r="N51" s="12" t="s">
        <v>329</v>
      </c>
      <c r="O51" s="13" t="s">
        <v>342</v>
      </c>
      <c r="P51" s="11" t="s">
        <v>31</v>
      </c>
      <c r="Q51" s="13" t="s">
        <v>343</v>
      </c>
    </row>
    <row r="52" ht="18.75" customHeight="1">
      <c r="A52" s="7">
        <v>45.0</v>
      </c>
      <c r="B52" s="8" t="s">
        <v>344</v>
      </c>
      <c r="C52" s="9" t="s">
        <v>345</v>
      </c>
      <c r="D52" s="8" t="s">
        <v>324</v>
      </c>
      <c r="E52" s="8" t="s">
        <v>346</v>
      </c>
      <c r="F52" s="8" t="s">
        <v>162</v>
      </c>
      <c r="G52" s="8" t="s">
        <v>347</v>
      </c>
      <c r="H52" s="7">
        <v>4.0</v>
      </c>
      <c r="I52" s="10">
        <v>0.01</v>
      </c>
      <c r="J52" s="10">
        <f t="shared" si="4"/>
        <v>0.04</v>
      </c>
      <c r="K52" s="7" t="s">
        <v>275</v>
      </c>
      <c r="L52" s="7" t="s">
        <v>327</v>
      </c>
      <c r="M52" s="7" t="s">
        <v>328</v>
      </c>
      <c r="N52" s="8" t="s">
        <v>329</v>
      </c>
      <c r="O52" s="9" t="s">
        <v>348</v>
      </c>
      <c r="P52" s="7" t="s">
        <v>31</v>
      </c>
      <c r="Q52" s="9" t="s">
        <v>349</v>
      </c>
    </row>
    <row r="53" ht="18.75" customHeight="1">
      <c r="A53" s="11">
        <v>46.0</v>
      </c>
      <c r="B53" s="12" t="s">
        <v>350</v>
      </c>
      <c r="C53" s="13" t="s">
        <v>351</v>
      </c>
      <c r="D53" s="12" t="s">
        <v>324</v>
      </c>
      <c r="E53" s="12" t="s">
        <v>325</v>
      </c>
      <c r="F53" s="12" t="s">
        <v>162</v>
      </c>
      <c r="G53" s="12" t="s">
        <v>326</v>
      </c>
      <c r="H53" s="11">
        <v>2.0</v>
      </c>
      <c r="I53" s="14">
        <v>0.01</v>
      </c>
      <c r="J53" s="14">
        <f t="shared" si="4"/>
        <v>0.02</v>
      </c>
      <c r="K53" s="11" t="s">
        <v>275</v>
      </c>
      <c r="L53" s="11" t="s">
        <v>327</v>
      </c>
      <c r="M53" s="11" t="s">
        <v>328</v>
      </c>
      <c r="N53" s="12" t="s">
        <v>329</v>
      </c>
      <c r="O53" s="13" t="s">
        <v>352</v>
      </c>
      <c r="P53" s="11" t="s">
        <v>31</v>
      </c>
      <c r="Q53" s="13" t="s">
        <v>331</v>
      </c>
    </row>
    <row r="54" ht="18.75" customHeight="1">
      <c r="A54" s="7">
        <v>47.0</v>
      </c>
      <c r="B54" s="8" t="s">
        <v>353</v>
      </c>
      <c r="C54" s="9" t="s">
        <v>354</v>
      </c>
      <c r="D54" s="8" t="s">
        <v>324</v>
      </c>
      <c r="E54" s="8" t="s">
        <v>355</v>
      </c>
      <c r="F54" s="8" t="s">
        <v>162</v>
      </c>
      <c r="G54" s="8" t="s">
        <v>356</v>
      </c>
      <c r="H54" s="7">
        <v>1.0</v>
      </c>
      <c r="I54" s="10">
        <v>0.01</v>
      </c>
      <c r="J54" s="10">
        <f t="shared" si="4"/>
        <v>0.01</v>
      </c>
      <c r="K54" s="7" t="s">
        <v>275</v>
      </c>
      <c r="L54" s="7" t="s">
        <v>327</v>
      </c>
      <c r="M54" s="7" t="s">
        <v>328</v>
      </c>
      <c r="N54" s="8" t="s">
        <v>329</v>
      </c>
      <c r="O54" s="9" t="s">
        <v>357</v>
      </c>
      <c r="P54" s="7" t="s">
        <v>31</v>
      </c>
      <c r="Q54" s="9" t="s">
        <v>358</v>
      </c>
    </row>
    <row r="55" ht="27.75" customHeight="1">
      <c r="A55" s="11">
        <v>48.0</v>
      </c>
      <c r="B55" s="12" t="s">
        <v>359</v>
      </c>
      <c r="C55" s="13" t="s">
        <v>360</v>
      </c>
      <c r="D55" s="12" t="s">
        <v>324</v>
      </c>
      <c r="E55" s="12" t="s">
        <v>361</v>
      </c>
      <c r="F55" s="12" t="s">
        <v>162</v>
      </c>
      <c r="G55" s="12" t="s">
        <v>362</v>
      </c>
      <c r="H55" s="11">
        <v>2.0</v>
      </c>
      <c r="I55" s="14">
        <v>0.01</v>
      </c>
      <c r="J55" s="14">
        <f t="shared" si="4"/>
        <v>0.02</v>
      </c>
      <c r="K55" s="11" t="s">
        <v>275</v>
      </c>
      <c r="L55" s="11" t="s">
        <v>327</v>
      </c>
      <c r="M55" s="11" t="s">
        <v>328</v>
      </c>
      <c r="N55" s="12" t="s">
        <v>329</v>
      </c>
      <c r="O55" s="13" t="s">
        <v>363</v>
      </c>
      <c r="P55" s="11" t="s">
        <v>31</v>
      </c>
      <c r="Q55" s="13" t="s">
        <v>364</v>
      </c>
    </row>
    <row r="56" ht="18.75" customHeight="1">
      <c r="A56" s="7">
        <v>49.0</v>
      </c>
      <c r="B56" s="8" t="s">
        <v>365</v>
      </c>
      <c r="C56" s="9" t="s">
        <v>366</v>
      </c>
      <c r="D56" s="8" t="s">
        <v>160</v>
      </c>
      <c r="E56" s="8" t="s">
        <v>367</v>
      </c>
      <c r="F56" s="8" t="s">
        <v>162</v>
      </c>
      <c r="G56" s="8" t="s">
        <v>368</v>
      </c>
      <c r="H56" s="7">
        <v>1.0</v>
      </c>
      <c r="I56" s="10">
        <v>0.15</v>
      </c>
      <c r="J56" s="10">
        <f t="shared" si="4"/>
        <v>0.15</v>
      </c>
      <c r="K56" s="7" t="s">
        <v>28</v>
      </c>
      <c r="L56" s="7" t="s">
        <v>369</v>
      </c>
      <c r="M56" s="7" t="s">
        <v>328</v>
      </c>
      <c r="N56" s="8" t="s">
        <v>370</v>
      </c>
      <c r="O56" s="9" t="s">
        <v>371</v>
      </c>
      <c r="P56" s="7" t="s">
        <v>31</v>
      </c>
      <c r="Q56" s="9" t="s">
        <v>372</v>
      </c>
    </row>
    <row r="57" ht="27.75" customHeight="1">
      <c r="A57" s="11">
        <v>50.0</v>
      </c>
      <c r="B57" s="12" t="s">
        <v>373</v>
      </c>
      <c r="C57" s="13" t="s">
        <v>374</v>
      </c>
      <c r="D57" s="12" t="s">
        <v>324</v>
      </c>
      <c r="E57" s="12" t="s">
        <v>375</v>
      </c>
      <c r="F57" s="12" t="s">
        <v>162</v>
      </c>
      <c r="G57" s="12" t="s">
        <v>376</v>
      </c>
      <c r="H57" s="11">
        <v>2.0</v>
      </c>
      <c r="I57" s="14">
        <v>0.01</v>
      </c>
      <c r="J57" s="14">
        <f t="shared" si="4"/>
        <v>0.02</v>
      </c>
      <c r="K57" s="11" t="s">
        <v>275</v>
      </c>
      <c r="L57" s="11" t="s">
        <v>327</v>
      </c>
      <c r="M57" s="11" t="s">
        <v>328</v>
      </c>
      <c r="N57" s="12" t="s">
        <v>329</v>
      </c>
      <c r="O57" s="13" t="s">
        <v>377</v>
      </c>
      <c r="P57" s="11" t="s">
        <v>31</v>
      </c>
      <c r="Q57" s="13" t="s">
        <v>378</v>
      </c>
    </row>
    <row r="58" ht="18.75" customHeight="1">
      <c r="A58" s="7">
        <v>51.0</v>
      </c>
      <c r="B58" s="8" t="s">
        <v>379</v>
      </c>
      <c r="C58" s="9" t="s">
        <v>380</v>
      </c>
      <c r="D58" s="8" t="s">
        <v>324</v>
      </c>
      <c r="E58" s="8" t="s">
        <v>381</v>
      </c>
      <c r="F58" s="8" t="s">
        <v>162</v>
      </c>
      <c r="G58" s="8" t="s">
        <v>382</v>
      </c>
      <c r="H58" s="7">
        <v>3.0</v>
      </c>
      <c r="I58" s="10">
        <v>0.01</v>
      </c>
      <c r="J58" s="10">
        <f t="shared" si="4"/>
        <v>0.03</v>
      </c>
      <c r="K58" s="7" t="s">
        <v>275</v>
      </c>
      <c r="L58" s="7" t="s">
        <v>327</v>
      </c>
      <c r="M58" s="7" t="s">
        <v>28</v>
      </c>
      <c r="N58" s="8" t="s">
        <v>329</v>
      </c>
      <c r="O58" s="9" t="s">
        <v>383</v>
      </c>
      <c r="P58" s="7" t="s">
        <v>31</v>
      </c>
      <c r="Q58" s="9" t="s">
        <v>28</v>
      </c>
    </row>
    <row r="59" ht="27.75" customHeight="1">
      <c r="A59" s="11">
        <v>52.0</v>
      </c>
      <c r="B59" s="12" t="s">
        <v>384</v>
      </c>
      <c r="C59" s="13" t="s">
        <v>385</v>
      </c>
      <c r="D59" s="12" t="s">
        <v>324</v>
      </c>
      <c r="E59" s="12" t="s">
        <v>346</v>
      </c>
      <c r="F59" s="12" t="s">
        <v>162</v>
      </c>
      <c r="G59" s="12" t="s">
        <v>347</v>
      </c>
      <c r="H59" s="11">
        <v>2.0</v>
      </c>
      <c r="I59" s="14">
        <v>0.01</v>
      </c>
      <c r="J59" s="14">
        <f t="shared" si="4"/>
        <v>0.02</v>
      </c>
      <c r="K59" s="11" t="s">
        <v>275</v>
      </c>
      <c r="L59" s="11" t="s">
        <v>327</v>
      </c>
      <c r="M59" s="11" t="s">
        <v>328</v>
      </c>
      <c r="N59" s="12" t="s">
        <v>329</v>
      </c>
      <c r="O59" s="13" t="s">
        <v>386</v>
      </c>
      <c r="P59" s="11" t="s">
        <v>31</v>
      </c>
      <c r="Q59" s="13" t="s">
        <v>349</v>
      </c>
    </row>
    <row r="60" ht="18.75" customHeight="1">
      <c r="A60" s="7">
        <v>53.0</v>
      </c>
      <c r="B60" s="8" t="s">
        <v>387</v>
      </c>
      <c r="C60" s="9" t="s">
        <v>388</v>
      </c>
      <c r="D60" s="8" t="s">
        <v>324</v>
      </c>
      <c r="E60" s="8" t="s">
        <v>389</v>
      </c>
      <c r="F60" s="8" t="s">
        <v>162</v>
      </c>
      <c r="G60" s="8" t="s">
        <v>390</v>
      </c>
      <c r="H60" s="7">
        <v>2.0</v>
      </c>
      <c r="I60" s="10">
        <v>0.01</v>
      </c>
      <c r="J60" s="10">
        <f t="shared" si="4"/>
        <v>0.02</v>
      </c>
      <c r="K60" s="7" t="s">
        <v>275</v>
      </c>
      <c r="L60" s="7" t="s">
        <v>327</v>
      </c>
      <c r="M60" s="7" t="s">
        <v>328</v>
      </c>
      <c r="N60" s="8" t="s">
        <v>329</v>
      </c>
      <c r="O60" s="9" t="s">
        <v>391</v>
      </c>
      <c r="P60" s="7" t="s">
        <v>31</v>
      </c>
      <c r="Q60" s="9" t="s">
        <v>392</v>
      </c>
    </row>
    <row r="61" ht="16.5" customHeight="1">
      <c r="A61" s="6" t="s">
        <v>393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</row>
    <row r="62" ht="27.75" customHeight="1">
      <c r="A62" s="11">
        <v>54.0</v>
      </c>
      <c r="B62" s="12" t="s">
        <v>148</v>
      </c>
      <c r="C62" s="13" t="s">
        <v>394</v>
      </c>
      <c r="D62" s="12" t="s">
        <v>150</v>
      </c>
      <c r="E62" s="12" t="s">
        <v>151</v>
      </c>
      <c r="F62" s="12" t="s">
        <v>152</v>
      </c>
      <c r="G62" s="12" t="s">
        <v>395</v>
      </c>
      <c r="H62" s="11">
        <v>1.0</v>
      </c>
      <c r="I62" s="14">
        <v>0.42</v>
      </c>
      <c r="J62" s="14">
        <f>H62*I62</f>
        <v>0.42</v>
      </c>
      <c r="K62" s="11" t="s">
        <v>28</v>
      </c>
      <c r="L62" s="11" t="s">
        <v>27</v>
      </c>
      <c r="M62" s="11" t="s">
        <v>154</v>
      </c>
      <c r="N62" s="12" t="s">
        <v>396</v>
      </c>
      <c r="O62" s="13" t="s">
        <v>397</v>
      </c>
      <c r="P62" s="11" t="s">
        <v>31</v>
      </c>
      <c r="Q62" s="13" t="s">
        <v>157</v>
      </c>
    </row>
    <row r="63" ht="16.5" customHeight="1">
      <c r="A63" s="6" t="s">
        <v>398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</row>
    <row r="64" ht="27.75" customHeight="1">
      <c r="A64" s="7">
        <v>55.0</v>
      </c>
      <c r="B64" s="8" t="s">
        <v>399</v>
      </c>
      <c r="C64" s="9" t="s">
        <v>400</v>
      </c>
      <c r="D64" s="8" t="s">
        <v>401</v>
      </c>
      <c r="E64" s="8" t="s">
        <v>402</v>
      </c>
      <c r="F64" s="8" t="s">
        <v>403</v>
      </c>
      <c r="G64" s="8" t="s">
        <v>404</v>
      </c>
      <c r="H64" s="7">
        <v>1.0</v>
      </c>
      <c r="I64" s="10">
        <v>2.85</v>
      </c>
      <c r="J64" s="10">
        <f t="shared" ref="J64:J70" si="5">H64*I64</f>
        <v>2.85</v>
      </c>
      <c r="K64" s="7" t="s">
        <v>405</v>
      </c>
      <c r="L64" s="7" t="s">
        <v>27</v>
      </c>
      <c r="M64" s="7" t="s">
        <v>28</v>
      </c>
      <c r="N64" s="8" t="s">
        <v>406</v>
      </c>
      <c r="O64" s="9" t="s">
        <v>407</v>
      </c>
      <c r="P64" s="7" t="s">
        <v>31</v>
      </c>
      <c r="Q64" s="9" t="s">
        <v>408</v>
      </c>
    </row>
    <row r="65" ht="27.75" customHeight="1">
      <c r="A65" s="11">
        <v>56.0</v>
      </c>
      <c r="B65" s="12" t="s">
        <v>409</v>
      </c>
      <c r="C65" s="13" t="s">
        <v>410</v>
      </c>
      <c r="D65" s="12" t="s">
        <v>411</v>
      </c>
      <c r="E65" s="12" t="s">
        <v>412</v>
      </c>
      <c r="F65" s="12" t="s">
        <v>413</v>
      </c>
      <c r="G65" s="12" t="s">
        <v>414</v>
      </c>
      <c r="H65" s="11">
        <v>1.0</v>
      </c>
      <c r="I65" s="14">
        <v>0.55</v>
      </c>
      <c r="J65" s="14">
        <f t="shared" si="5"/>
        <v>0.55</v>
      </c>
      <c r="K65" s="11" t="s">
        <v>415</v>
      </c>
      <c r="L65" s="11" t="s">
        <v>27</v>
      </c>
      <c r="M65" s="11" t="s">
        <v>28</v>
      </c>
      <c r="N65" s="12" t="s">
        <v>416</v>
      </c>
      <c r="O65" s="13" t="s">
        <v>417</v>
      </c>
      <c r="P65" s="11" t="s">
        <v>31</v>
      </c>
      <c r="Q65" s="13" t="s">
        <v>418</v>
      </c>
    </row>
    <row r="66" ht="18.75" customHeight="1">
      <c r="A66" s="7">
        <v>57.0</v>
      </c>
      <c r="B66" s="8" t="s">
        <v>419</v>
      </c>
      <c r="C66" s="9" t="s">
        <v>420</v>
      </c>
      <c r="D66" s="8" t="s">
        <v>421</v>
      </c>
      <c r="E66" s="8" t="s">
        <v>422</v>
      </c>
      <c r="F66" s="8" t="s">
        <v>423</v>
      </c>
      <c r="G66" s="8" t="s">
        <v>424</v>
      </c>
      <c r="H66" s="7">
        <v>1.0</v>
      </c>
      <c r="I66" s="10">
        <v>0.22</v>
      </c>
      <c r="J66" s="10">
        <f t="shared" si="5"/>
        <v>0.22</v>
      </c>
      <c r="K66" s="7" t="s">
        <v>28</v>
      </c>
      <c r="L66" s="7" t="s">
        <v>27</v>
      </c>
      <c r="M66" s="7" t="s">
        <v>28</v>
      </c>
      <c r="N66" s="8" t="s">
        <v>416</v>
      </c>
      <c r="O66" s="9" t="s">
        <v>425</v>
      </c>
      <c r="P66" s="7" t="s">
        <v>31</v>
      </c>
      <c r="Q66" s="9" t="s">
        <v>426</v>
      </c>
    </row>
    <row r="67" ht="18.75" customHeight="1">
      <c r="A67" s="11">
        <v>58.0</v>
      </c>
      <c r="B67" s="12" t="s">
        <v>427</v>
      </c>
      <c r="C67" s="13" t="s">
        <v>428</v>
      </c>
      <c r="D67" s="12" t="s">
        <v>429</v>
      </c>
      <c r="E67" s="12" t="s">
        <v>430</v>
      </c>
      <c r="F67" s="12" t="s">
        <v>431</v>
      </c>
      <c r="G67" s="12" t="s">
        <v>432</v>
      </c>
      <c r="H67" s="11">
        <v>1.0</v>
      </c>
      <c r="I67" s="14">
        <v>1.2</v>
      </c>
      <c r="J67" s="14">
        <f t="shared" si="5"/>
        <v>1.2</v>
      </c>
      <c r="K67" s="11" t="s">
        <v>433</v>
      </c>
      <c r="L67" s="11" t="s">
        <v>164</v>
      </c>
      <c r="M67" s="11" t="s">
        <v>28</v>
      </c>
      <c r="N67" s="12" t="s">
        <v>416</v>
      </c>
      <c r="O67" s="13" t="s">
        <v>434</v>
      </c>
      <c r="P67" s="11" t="s">
        <v>31</v>
      </c>
      <c r="Q67" s="13" t="s">
        <v>435</v>
      </c>
    </row>
    <row r="68" ht="27.75" customHeight="1">
      <c r="A68" s="7">
        <v>59.0</v>
      </c>
      <c r="B68" s="8" t="s">
        <v>436</v>
      </c>
      <c r="C68" s="9" t="s">
        <v>437</v>
      </c>
      <c r="D68" s="8" t="s">
        <v>438</v>
      </c>
      <c r="E68" s="8" t="s">
        <v>439</v>
      </c>
      <c r="F68" s="8" t="s">
        <v>440</v>
      </c>
      <c r="G68" s="8" t="s">
        <v>441</v>
      </c>
      <c r="H68" s="7">
        <v>1.0</v>
      </c>
      <c r="I68" s="10">
        <v>0.55</v>
      </c>
      <c r="J68" s="10">
        <f t="shared" si="5"/>
        <v>0.55</v>
      </c>
      <c r="K68" s="7" t="s">
        <v>442</v>
      </c>
      <c r="L68" s="7" t="s">
        <v>27</v>
      </c>
      <c r="M68" s="7" t="s">
        <v>28</v>
      </c>
      <c r="N68" s="8" t="s">
        <v>443</v>
      </c>
      <c r="O68" s="9" t="s">
        <v>444</v>
      </c>
      <c r="P68" s="7" t="s">
        <v>31</v>
      </c>
      <c r="Q68" s="9" t="s">
        <v>445</v>
      </c>
    </row>
    <row r="69" ht="18.75" customHeight="1">
      <c r="A69" s="11">
        <v>60.0</v>
      </c>
      <c r="B69" s="12" t="s">
        <v>446</v>
      </c>
      <c r="C69" s="13" t="s">
        <v>447</v>
      </c>
      <c r="D69" s="12" t="s">
        <v>438</v>
      </c>
      <c r="E69" s="12" t="s">
        <v>439</v>
      </c>
      <c r="F69" s="12" t="s">
        <v>440</v>
      </c>
      <c r="G69" s="12" t="s">
        <v>448</v>
      </c>
      <c r="H69" s="11">
        <v>1.0</v>
      </c>
      <c r="I69" s="14">
        <v>0.55</v>
      </c>
      <c r="J69" s="14">
        <f t="shared" si="5"/>
        <v>0.55</v>
      </c>
      <c r="K69" s="11" t="s">
        <v>442</v>
      </c>
      <c r="L69" s="11" t="s">
        <v>27</v>
      </c>
      <c r="M69" s="11" t="s">
        <v>28</v>
      </c>
      <c r="N69" s="12" t="s">
        <v>443</v>
      </c>
      <c r="O69" s="13" t="s">
        <v>449</v>
      </c>
      <c r="P69" s="11" t="s">
        <v>31</v>
      </c>
      <c r="Q69" s="13" t="s">
        <v>445</v>
      </c>
    </row>
    <row r="70" ht="18.75" customHeight="1">
      <c r="A70" s="7">
        <v>61.0</v>
      </c>
      <c r="B70" s="8" t="s">
        <v>450</v>
      </c>
      <c r="C70" s="9" t="s">
        <v>451</v>
      </c>
      <c r="D70" s="8" t="s">
        <v>452</v>
      </c>
      <c r="E70" s="8" t="s">
        <v>453</v>
      </c>
      <c r="F70" s="8" t="s">
        <v>454</v>
      </c>
      <c r="G70" s="8" t="s">
        <v>455</v>
      </c>
      <c r="H70" s="7">
        <v>1.0</v>
      </c>
      <c r="I70" s="10">
        <v>0.35</v>
      </c>
      <c r="J70" s="10">
        <f t="shared" si="5"/>
        <v>0.35</v>
      </c>
      <c r="K70" s="7" t="s">
        <v>456</v>
      </c>
      <c r="L70" s="7" t="s">
        <v>457</v>
      </c>
      <c r="M70" s="7" t="s">
        <v>28</v>
      </c>
      <c r="N70" s="8" t="s">
        <v>416</v>
      </c>
      <c r="O70" s="9" t="s">
        <v>458</v>
      </c>
      <c r="P70" s="7" t="s">
        <v>31</v>
      </c>
      <c r="Q70" s="9" t="s">
        <v>459</v>
      </c>
    </row>
    <row r="71" ht="16.5" customHeight="1">
      <c r="A71" s="6" t="s">
        <v>460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</row>
    <row r="72" ht="27.75" customHeight="1">
      <c r="A72" s="11">
        <v>62.0</v>
      </c>
      <c r="B72" s="12" t="s">
        <v>461</v>
      </c>
      <c r="C72" s="13" t="s">
        <v>462</v>
      </c>
      <c r="D72" s="12" t="s">
        <v>463</v>
      </c>
      <c r="E72" s="12" t="s">
        <v>464</v>
      </c>
      <c r="F72" s="12" t="s">
        <v>465</v>
      </c>
      <c r="G72" s="12" t="s">
        <v>466</v>
      </c>
      <c r="H72" s="11">
        <v>1.0</v>
      </c>
      <c r="I72" s="14">
        <v>0.38</v>
      </c>
      <c r="J72" s="14">
        <f t="shared" ref="J72:J76" si="6">H72*I72</f>
        <v>0.38</v>
      </c>
      <c r="K72" s="11" t="s">
        <v>143</v>
      </c>
      <c r="L72" s="11" t="s">
        <v>27</v>
      </c>
      <c r="M72" s="11" t="s">
        <v>28</v>
      </c>
      <c r="N72" s="12" t="s">
        <v>467</v>
      </c>
      <c r="O72" s="13" t="s">
        <v>468</v>
      </c>
      <c r="P72" s="11" t="s">
        <v>31</v>
      </c>
      <c r="Q72" s="13" t="s">
        <v>469</v>
      </c>
    </row>
    <row r="73" ht="27.75" customHeight="1">
      <c r="A73" s="7">
        <v>63.0</v>
      </c>
      <c r="B73" s="8" t="s">
        <v>470</v>
      </c>
      <c r="C73" s="9" t="s">
        <v>471</v>
      </c>
      <c r="D73" s="8" t="s">
        <v>472</v>
      </c>
      <c r="E73" s="8" t="s">
        <v>473</v>
      </c>
      <c r="F73" s="8" t="s">
        <v>474</v>
      </c>
      <c r="G73" s="8" t="s">
        <v>475</v>
      </c>
      <c r="H73" s="7">
        <v>1.0</v>
      </c>
      <c r="I73" s="10">
        <v>0.12</v>
      </c>
      <c r="J73" s="10">
        <f t="shared" si="6"/>
        <v>0.12</v>
      </c>
      <c r="K73" s="7" t="s">
        <v>143</v>
      </c>
      <c r="L73" s="7" t="s">
        <v>27</v>
      </c>
      <c r="M73" s="7" t="s">
        <v>28</v>
      </c>
      <c r="N73" s="8" t="s">
        <v>476</v>
      </c>
      <c r="O73" s="9" t="s">
        <v>477</v>
      </c>
      <c r="P73" s="7" t="s">
        <v>31</v>
      </c>
      <c r="Q73" s="9" t="s">
        <v>478</v>
      </c>
    </row>
    <row r="74" ht="18.75" customHeight="1">
      <c r="A74" s="11">
        <v>64.0</v>
      </c>
      <c r="B74" s="12" t="s">
        <v>479</v>
      </c>
      <c r="C74" s="13" t="s">
        <v>480</v>
      </c>
      <c r="D74" s="12" t="s">
        <v>472</v>
      </c>
      <c r="E74" s="12" t="s">
        <v>481</v>
      </c>
      <c r="F74" s="12" t="s">
        <v>474</v>
      </c>
      <c r="G74" s="12" t="s">
        <v>482</v>
      </c>
      <c r="H74" s="11">
        <v>1.0</v>
      </c>
      <c r="I74" s="14">
        <v>0.12</v>
      </c>
      <c r="J74" s="14">
        <f t="shared" si="6"/>
        <v>0.12</v>
      </c>
      <c r="K74" s="11" t="s">
        <v>143</v>
      </c>
      <c r="L74" s="11" t="s">
        <v>27</v>
      </c>
      <c r="M74" s="11" t="s">
        <v>28</v>
      </c>
      <c r="N74" s="12" t="s">
        <v>483</v>
      </c>
      <c r="O74" s="13" t="s">
        <v>484</v>
      </c>
      <c r="P74" s="11" t="s">
        <v>31</v>
      </c>
      <c r="Q74" s="13" t="s">
        <v>485</v>
      </c>
    </row>
    <row r="75" ht="27.75" customHeight="1">
      <c r="A75" s="7">
        <v>65.0</v>
      </c>
      <c r="B75" s="8" t="s">
        <v>486</v>
      </c>
      <c r="C75" s="9" t="s">
        <v>487</v>
      </c>
      <c r="D75" s="8" t="s">
        <v>472</v>
      </c>
      <c r="E75" s="8" t="s">
        <v>473</v>
      </c>
      <c r="F75" s="8" t="s">
        <v>474</v>
      </c>
      <c r="G75" s="8" t="s">
        <v>475</v>
      </c>
      <c r="H75" s="7">
        <v>1.0</v>
      </c>
      <c r="I75" s="10">
        <v>0.12</v>
      </c>
      <c r="J75" s="10">
        <f t="shared" si="6"/>
        <v>0.12</v>
      </c>
      <c r="K75" s="7" t="s">
        <v>143</v>
      </c>
      <c r="L75" s="7" t="s">
        <v>27</v>
      </c>
      <c r="M75" s="7" t="s">
        <v>28</v>
      </c>
      <c r="N75" s="8" t="s">
        <v>476</v>
      </c>
      <c r="O75" s="9" t="s">
        <v>488</v>
      </c>
      <c r="P75" s="7" t="s">
        <v>31</v>
      </c>
      <c r="Q75" s="9" t="s">
        <v>478</v>
      </c>
    </row>
    <row r="76" ht="27.75" customHeight="1">
      <c r="A76" s="11">
        <v>66.0</v>
      </c>
      <c r="B76" s="12" t="s">
        <v>489</v>
      </c>
      <c r="C76" s="13" t="s">
        <v>490</v>
      </c>
      <c r="D76" s="12" t="s">
        <v>463</v>
      </c>
      <c r="E76" s="12" t="s">
        <v>464</v>
      </c>
      <c r="F76" s="12" t="s">
        <v>465</v>
      </c>
      <c r="G76" s="12" t="s">
        <v>491</v>
      </c>
      <c r="H76" s="11">
        <v>1.0</v>
      </c>
      <c r="I76" s="14">
        <v>0.38</v>
      </c>
      <c r="J76" s="14">
        <f t="shared" si="6"/>
        <v>0.38</v>
      </c>
      <c r="K76" s="11" t="s">
        <v>143</v>
      </c>
      <c r="L76" s="11" t="s">
        <v>27</v>
      </c>
      <c r="M76" s="11" t="s">
        <v>28</v>
      </c>
      <c r="N76" s="12" t="s">
        <v>467</v>
      </c>
      <c r="O76" s="13" t="s">
        <v>492</v>
      </c>
      <c r="P76" s="11" t="s">
        <v>31</v>
      </c>
      <c r="Q76" s="13" t="s">
        <v>469</v>
      </c>
    </row>
    <row r="77" ht="16.5" customHeight="1">
      <c r="A77" s="6" t="s">
        <v>493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</row>
    <row r="78" ht="18.75" customHeight="1">
      <c r="A78" s="7">
        <v>67.0</v>
      </c>
      <c r="B78" s="8" t="s">
        <v>494</v>
      </c>
      <c r="C78" s="9" t="s">
        <v>495</v>
      </c>
      <c r="D78" s="8" t="s">
        <v>496</v>
      </c>
      <c r="E78" s="8" t="s">
        <v>497</v>
      </c>
      <c r="F78" s="8" t="s">
        <v>498</v>
      </c>
      <c r="G78" s="8" t="s">
        <v>499</v>
      </c>
      <c r="H78" s="7">
        <v>1.0</v>
      </c>
      <c r="I78" s="10">
        <v>0.35</v>
      </c>
      <c r="J78" s="10">
        <f t="shared" ref="J78:J81" si="7">H78*I78</f>
        <v>0.35</v>
      </c>
      <c r="K78" s="7" t="s">
        <v>500</v>
      </c>
      <c r="L78" s="7" t="s">
        <v>501</v>
      </c>
      <c r="M78" s="7" t="s">
        <v>28</v>
      </c>
      <c r="N78" s="8" t="s">
        <v>502</v>
      </c>
      <c r="O78" s="9" t="s">
        <v>503</v>
      </c>
      <c r="P78" s="7" t="s">
        <v>31</v>
      </c>
      <c r="Q78" s="9" t="s">
        <v>504</v>
      </c>
    </row>
    <row r="79" ht="18.75" customHeight="1">
      <c r="A79" s="11">
        <v>68.0</v>
      </c>
      <c r="B79" s="12" t="s">
        <v>505</v>
      </c>
      <c r="C79" s="13" t="s">
        <v>506</v>
      </c>
      <c r="D79" s="12" t="s">
        <v>507</v>
      </c>
      <c r="E79" s="12" t="s">
        <v>508</v>
      </c>
      <c r="F79" s="12" t="s">
        <v>498</v>
      </c>
      <c r="G79" s="12" t="s">
        <v>509</v>
      </c>
      <c r="H79" s="11">
        <v>1.0</v>
      </c>
      <c r="I79" s="14">
        <v>0.35</v>
      </c>
      <c r="J79" s="14">
        <f t="shared" si="7"/>
        <v>0.35</v>
      </c>
      <c r="K79" s="11" t="s">
        <v>500</v>
      </c>
      <c r="L79" s="11" t="s">
        <v>501</v>
      </c>
      <c r="M79" s="11" t="s">
        <v>28</v>
      </c>
      <c r="N79" s="12" t="s">
        <v>502</v>
      </c>
      <c r="O79" s="13" t="s">
        <v>510</v>
      </c>
      <c r="P79" s="11" t="s">
        <v>31</v>
      </c>
      <c r="Q79" s="13" t="s">
        <v>511</v>
      </c>
    </row>
    <row r="80" ht="18.75" customHeight="1">
      <c r="A80" s="7">
        <v>69.0</v>
      </c>
      <c r="B80" s="8" t="s">
        <v>512</v>
      </c>
      <c r="C80" s="9" t="s">
        <v>513</v>
      </c>
      <c r="D80" s="8" t="s">
        <v>507</v>
      </c>
      <c r="E80" s="8" t="s">
        <v>514</v>
      </c>
      <c r="F80" s="8" t="s">
        <v>515</v>
      </c>
      <c r="G80" s="8" t="s">
        <v>516</v>
      </c>
      <c r="H80" s="7">
        <v>2.0</v>
      </c>
      <c r="I80" s="10">
        <v>0.15</v>
      </c>
      <c r="J80" s="10">
        <f t="shared" si="7"/>
        <v>0.3</v>
      </c>
      <c r="K80" s="7" t="s">
        <v>517</v>
      </c>
      <c r="L80" s="7" t="s">
        <v>518</v>
      </c>
      <c r="M80" s="7" t="s">
        <v>28</v>
      </c>
      <c r="N80" s="8" t="s">
        <v>519</v>
      </c>
      <c r="O80" s="9" t="s">
        <v>520</v>
      </c>
      <c r="P80" s="7" t="s">
        <v>31</v>
      </c>
      <c r="Q80" s="9" t="s">
        <v>521</v>
      </c>
    </row>
    <row r="81" ht="18.75" customHeight="1">
      <c r="A81" s="11">
        <v>70.0</v>
      </c>
      <c r="B81" s="12" t="s">
        <v>522</v>
      </c>
      <c r="C81" s="13" t="s">
        <v>523</v>
      </c>
      <c r="D81" s="12" t="s">
        <v>524</v>
      </c>
      <c r="E81" s="12" t="s">
        <v>525</v>
      </c>
      <c r="F81" s="12" t="s">
        <v>526</v>
      </c>
      <c r="G81" s="12" t="s">
        <v>527</v>
      </c>
      <c r="H81" s="11">
        <v>1.0</v>
      </c>
      <c r="I81" s="14">
        <v>0.28</v>
      </c>
      <c r="J81" s="14">
        <f t="shared" si="7"/>
        <v>0.28</v>
      </c>
      <c r="K81" s="11" t="s">
        <v>528</v>
      </c>
      <c r="L81" s="11" t="s">
        <v>27</v>
      </c>
      <c r="M81" s="11" t="s">
        <v>28</v>
      </c>
      <c r="N81" s="12" t="s">
        <v>529</v>
      </c>
      <c r="O81" s="13" t="s">
        <v>530</v>
      </c>
      <c r="P81" s="11" t="s">
        <v>31</v>
      </c>
      <c r="Q81" s="13" t="s">
        <v>531</v>
      </c>
    </row>
    <row r="82" ht="15.0" customHeight="1">
      <c r="A82" s="15" t="s">
        <v>532</v>
      </c>
      <c r="B82" s="2"/>
      <c r="C82" s="2"/>
      <c r="D82" s="2"/>
      <c r="E82" s="2"/>
      <c r="F82" s="2"/>
      <c r="G82" s="3"/>
      <c r="H82" s="16">
        <f>SUM(H4:H81)</f>
        <v>150</v>
      </c>
      <c r="I82" s="16"/>
      <c r="J82" s="16">
        <f>SUM(J4:J81)</f>
        <v>75.52</v>
      </c>
      <c r="K82" s="17"/>
      <c r="L82" s="17"/>
      <c r="M82" s="17"/>
      <c r="N82" s="17"/>
      <c r="O82" s="17"/>
      <c r="P82" s="17"/>
      <c r="Q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</row>
    <row r="998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</row>
    <row r="999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</row>
    <row r="1000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</row>
  </sheetData>
  <autoFilter ref="$A$3:$Q$81"/>
  <mergeCells count="3">
    <mergeCell ref="A1:R1"/>
    <mergeCell ref="A2:R2"/>
    <mergeCell ref="A82:G8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5631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6.0"/>
    <col customWidth="1" min="2" max="6" width="14.0"/>
    <col customWidth="1" min="7" max="7" width="23.43"/>
    <col customWidth="1" min="8" max="11" width="14.0"/>
    <col customWidth="1" min="12" max="26" width="8.71"/>
  </cols>
  <sheetData>
    <row r="1" ht="27.75" customHeight="1">
      <c r="A1" s="18" t="s">
        <v>533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3.5" customHeight="1">
      <c r="A2" s="19" t="s">
        <v>534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ht="16.5" customHeight="1">
      <c r="A3" s="20" t="s">
        <v>535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 ht="21.75" customHeight="1">
      <c r="A4" s="21" t="s">
        <v>536</v>
      </c>
      <c r="B4" s="21" t="s">
        <v>537</v>
      </c>
      <c r="C4" s="21" t="s">
        <v>538</v>
      </c>
      <c r="D4" s="21" t="s">
        <v>16</v>
      </c>
      <c r="E4" s="17"/>
      <c r="F4" s="17"/>
      <c r="G4" s="17"/>
      <c r="H4" s="17"/>
      <c r="I4" s="17"/>
      <c r="J4" s="17"/>
      <c r="K4" s="17"/>
    </row>
    <row r="5" ht="36.75" customHeight="1">
      <c r="A5" s="22" t="s">
        <v>539</v>
      </c>
      <c r="B5" s="23">
        <v>3000.0</v>
      </c>
      <c r="C5" s="24" t="s">
        <v>540</v>
      </c>
      <c r="D5" s="25" t="s">
        <v>541</v>
      </c>
      <c r="E5" s="26"/>
      <c r="F5" s="26"/>
      <c r="G5" s="26"/>
      <c r="H5" s="26"/>
      <c r="I5" s="26"/>
      <c r="J5" s="26"/>
      <c r="K5" s="26"/>
    </row>
    <row r="6" ht="15.0" customHeight="1">
      <c r="A6" s="22" t="s">
        <v>542</v>
      </c>
      <c r="B6" s="23">
        <v>3.7</v>
      </c>
      <c r="C6" s="24" t="s">
        <v>543</v>
      </c>
      <c r="D6" s="25" t="s">
        <v>544</v>
      </c>
      <c r="E6" s="26"/>
      <c r="F6" s="26"/>
      <c r="G6" s="26"/>
      <c r="H6" s="26"/>
      <c r="I6" s="26"/>
      <c r="J6" s="26"/>
      <c r="K6" s="26"/>
    </row>
    <row r="7" ht="27.75" customHeight="1">
      <c r="A7" s="22" t="s">
        <v>545</v>
      </c>
      <c r="B7" s="27">
        <v>0.88</v>
      </c>
      <c r="C7" s="24" t="s">
        <v>546</v>
      </c>
      <c r="D7" s="25" t="s">
        <v>547</v>
      </c>
      <c r="E7" s="26"/>
      <c r="F7" s="26"/>
      <c r="G7" s="26"/>
      <c r="H7" s="26"/>
      <c r="I7" s="26"/>
      <c r="J7" s="26"/>
      <c r="K7" s="26"/>
    </row>
    <row r="8" ht="18.75" customHeight="1">
      <c r="A8" s="22" t="s">
        <v>548</v>
      </c>
      <c r="B8" s="27">
        <v>0.85</v>
      </c>
      <c r="C8" s="24" t="s">
        <v>549</v>
      </c>
      <c r="D8" s="25" t="s">
        <v>550</v>
      </c>
      <c r="E8" s="26"/>
      <c r="F8" s="26"/>
      <c r="G8" s="26"/>
      <c r="H8" s="26"/>
      <c r="I8" s="26"/>
      <c r="J8" s="26"/>
      <c r="K8" s="26"/>
    </row>
    <row r="9" ht="27.75" customHeight="1">
      <c r="A9" s="22" t="s">
        <v>551</v>
      </c>
      <c r="B9" s="23">
        <v>0.02</v>
      </c>
      <c r="C9" s="24" t="s">
        <v>552</v>
      </c>
      <c r="D9" s="25" t="s">
        <v>553</v>
      </c>
      <c r="E9" s="26"/>
      <c r="F9" s="26"/>
      <c r="G9" s="26"/>
      <c r="H9" s="26"/>
      <c r="I9" s="26"/>
      <c r="J9" s="26"/>
      <c r="K9" s="26"/>
    </row>
    <row r="10" ht="18.75" customHeight="1">
      <c r="A10" s="22" t="s">
        <v>554</v>
      </c>
      <c r="B10" s="23">
        <v>3.3</v>
      </c>
      <c r="C10" s="24" t="s">
        <v>543</v>
      </c>
      <c r="D10" s="25" t="s">
        <v>555</v>
      </c>
      <c r="E10" s="26"/>
      <c r="F10" s="26"/>
      <c r="G10" s="26"/>
      <c r="H10" s="26"/>
      <c r="I10" s="26"/>
      <c r="J10" s="26"/>
      <c r="K10" s="26"/>
    </row>
    <row r="11" ht="36.75" customHeight="1">
      <c r="A11" s="22" t="s">
        <v>556</v>
      </c>
      <c r="B11" s="23">
        <v>0.5</v>
      </c>
      <c r="C11" s="24" t="s">
        <v>557</v>
      </c>
      <c r="D11" s="25" t="s">
        <v>558</v>
      </c>
      <c r="E11" s="26"/>
      <c r="F11" s="26"/>
      <c r="G11" s="26"/>
      <c r="H11" s="26"/>
      <c r="I11" s="26"/>
      <c r="J11" s="26"/>
      <c r="K11" s="26"/>
    </row>
    <row r="12" ht="18.75" customHeight="1">
      <c r="A12" s="22" t="s">
        <v>559</v>
      </c>
      <c r="B12" s="23">
        <v>128.0</v>
      </c>
      <c r="C12" s="24" t="s">
        <v>560</v>
      </c>
      <c r="D12" s="25" t="s">
        <v>561</v>
      </c>
      <c r="E12" s="26"/>
      <c r="F12" s="26"/>
      <c r="G12" s="26"/>
      <c r="H12" s="26"/>
      <c r="I12" s="26"/>
      <c r="J12" s="26"/>
      <c r="K12" s="26"/>
    </row>
    <row r="13" ht="27.75" customHeight="1">
      <c r="A13" s="22" t="s">
        <v>562</v>
      </c>
      <c r="B13" s="23">
        <v>3.0</v>
      </c>
      <c r="C13" s="24" t="s">
        <v>28</v>
      </c>
      <c r="D13" s="25" t="s">
        <v>563</v>
      </c>
      <c r="E13" s="26"/>
      <c r="F13" s="26"/>
      <c r="G13" s="26"/>
      <c r="H13" s="26"/>
      <c r="I13" s="26"/>
      <c r="J13" s="26"/>
      <c r="K13" s="26"/>
    </row>
    <row r="14" ht="27.75" customHeight="1">
      <c r="A14" s="22" t="s">
        <v>564</v>
      </c>
      <c r="B14" s="23">
        <v>2.0</v>
      </c>
      <c r="C14" s="24" t="s">
        <v>28</v>
      </c>
      <c r="D14" s="25" t="s">
        <v>565</v>
      </c>
      <c r="E14" s="26"/>
      <c r="F14" s="26"/>
      <c r="G14" s="26"/>
      <c r="H14" s="26"/>
      <c r="I14" s="26"/>
      <c r="J14" s="26"/>
      <c r="K14" s="26"/>
    </row>
    <row r="15" ht="27.75" customHeight="1">
      <c r="A15" s="22" t="s">
        <v>566</v>
      </c>
      <c r="B15" s="23">
        <v>2.1</v>
      </c>
      <c r="C15" s="24" t="s">
        <v>560</v>
      </c>
      <c r="D15" s="25" t="s">
        <v>567</v>
      </c>
      <c r="E15" s="26"/>
      <c r="F15" s="26"/>
      <c r="G15" s="26"/>
      <c r="H15" s="26"/>
      <c r="I15" s="26"/>
      <c r="J15" s="26"/>
      <c r="K15" s="26"/>
    </row>
    <row r="16" ht="27.75" customHeight="1">
      <c r="A16" s="22" t="s">
        <v>568</v>
      </c>
      <c r="B16" s="23">
        <v>50.0</v>
      </c>
      <c r="C16" s="24" t="s">
        <v>569</v>
      </c>
      <c r="D16" s="25" t="s">
        <v>570</v>
      </c>
      <c r="E16" s="26"/>
      <c r="F16" s="26"/>
      <c r="G16" s="26"/>
      <c r="H16" s="26"/>
      <c r="I16" s="26"/>
      <c r="J16" s="26"/>
      <c r="K16" s="26"/>
    </row>
    <row r="17" ht="27.75" customHeight="1">
      <c r="A17" s="22" t="s">
        <v>571</v>
      </c>
      <c r="B17" s="23">
        <v>100.0</v>
      </c>
      <c r="C17" s="24" t="s">
        <v>569</v>
      </c>
      <c r="D17" s="25" t="s">
        <v>572</v>
      </c>
      <c r="E17" s="26"/>
      <c r="F17" s="26"/>
      <c r="G17" s="26"/>
      <c r="H17" s="26"/>
      <c r="I17" s="26"/>
      <c r="J17" s="26"/>
      <c r="K17" s="26"/>
    </row>
    <row r="18" ht="27.75" customHeight="1">
      <c r="A18" s="22" t="s">
        <v>573</v>
      </c>
      <c r="B18" s="23">
        <v>200.0</v>
      </c>
      <c r="C18" s="24" t="s">
        <v>574</v>
      </c>
      <c r="D18" s="25" t="s">
        <v>575</v>
      </c>
      <c r="E18" s="26"/>
      <c r="F18" s="26"/>
      <c r="G18" s="26"/>
      <c r="H18" s="26"/>
      <c r="I18" s="26"/>
      <c r="J18" s="26"/>
      <c r="K18" s="26"/>
    </row>
    <row r="19" ht="18.75" customHeight="1">
      <c r="A19" s="22" t="s">
        <v>576</v>
      </c>
      <c r="B19" s="23">
        <v>120.0</v>
      </c>
      <c r="C19" s="24" t="s">
        <v>574</v>
      </c>
      <c r="D19" s="25" t="s">
        <v>577</v>
      </c>
      <c r="E19" s="26"/>
      <c r="F19" s="26"/>
      <c r="G19" s="26"/>
      <c r="H19" s="26"/>
      <c r="I19" s="26"/>
      <c r="J19" s="26"/>
      <c r="K19" s="26"/>
    </row>
    <row r="20" ht="15.0" customHeight="1">
      <c r="A20" s="22" t="s">
        <v>578</v>
      </c>
      <c r="B20" s="23">
        <v>320.0</v>
      </c>
      <c r="C20" s="24" t="s">
        <v>574</v>
      </c>
      <c r="D20" s="25" t="s">
        <v>579</v>
      </c>
      <c r="E20" s="26"/>
      <c r="F20" s="26"/>
      <c r="G20" s="26"/>
      <c r="H20" s="26"/>
      <c r="I20" s="26"/>
      <c r="J20" s="26"/>
      <c r="K20" s="26"/>
    </row>
    <row r="21" ht="18.75" customHeight="1">
      <c r="A21" s="22" t="s">
        <v>580</v>
      </c>
      <c r="B21" s="23">
        <v>5.5</v>
      </c>
      <c r="C21" s="24" t="s">
        <v>574</v>
      </c>
      <c r="D21" s="25" t="s">
        <v>581</v>
      </c>
      <c r="E21" s="26"/>
      <c r="F21" s="26"/>
      <c r="G21" s="26"/>
      <c r="H21" s="26"/>
      <c r="I21" s="26"/>
      <c r="J21" s="26"/>
      <c r="K21" s="26"/>
    </row>
    <row r="22" ht="18.75" customHeight="1">
      <c r="A22" s="22" t="s">
        <v>582</v>
      </c>
      <c r="B22" s="23">
        <v>0.9</v>
      </c>
      <c r="C22" s="24" t="s">
        <v>583</v>
      </c>
      <c r="D22" s="25" t="s">
        <v>584</v>
      </c>
      <c r="E22" s="26"/>
      <c r="F22" s="26"/>
      <c r="G22" s="26"/>
      <c r="H22" s="26"/>
      <c r="I22" s="26"/>
      <c r="J22" s="26"/>
      <c r="K22" s="26"/>
    </row>
    <row r="23" ht="27.75" customHeight="1">
      <c r="A23" s="22" t="s">
        <v>585</v>
      </c>
      <c r="B23" s="23">
        <v>2.5</v>
      </c>
      <c r="C23" s="24" t="s">
        <v>583</v>
      </c>
      <c r="D23" s="25" t="s">
        <v>586</v>
      </c>
      <c r="E23" s="26"/>
      <c r="F23" s="26"/>
      <c r="G23" s="26"/>
      <c r="H23" s="26"/>
      <c r="I23" s="26"/>
      <c r="J23" s="26"/>
      <c r="K23" s="26"/>
    </row>
    <row r="24" ht="27.75" customHeight="1">
      <c r="A24" s="22" t="s">
        <v>587</v>
      </c>
      <c r="B24" s="23">
        <v>25.0</v>
      </c>
      <c r="C24" s="24" t="s">
        <v>583</v>
      </c>
      <c r="D24" s="25" t="s">
        <v>588</v>
      </c>
      <c r="E24" s="26"/>
      <c r="F24" s="26"/>
      <c r="G24" s="26"/>
      <c r="H24" s="26"/>
      <c r="I24" s="26"/>
      <c r="J24" s="26"/>
      <c r="K24" s="26"/>
    </row>
    <row r="25" ht="27.75" customHeight="1">
      <c r="A25" s="22" t="s">
        <v>589</v>
      </c>
      <c r="B25" s="23">
        <v>15.0</v>
      </c>
      <c r="C25" s="24" t="s">
        <v>583</v>
      </c>
      <c r="D25" s="25" t="s">
        <v>590</v>
      </c>
      <c r="E25" s="26"/>
      <c r="F25" s="26"/>
      <c r="G25" s="26"/>
      <c r="H25" s="26"/>
      <c r="I25" s="26"/>
      <c r="J25" s="26"/>
      <c r="K25" s="26"/>
    </row>
    <row r="26" ht="27.75" customHeight="1">
      <c r="A26" s="22" t="s">
        <v>591</v>
      </c>
      <c r="B26" s="23">
        <v>1.5</v>
      </c>
      <c r="C26" s="24" t="s">
        <v>583</v>
      </c>
      <c r="D26" s="25" t="s">
        <v>592</v>
      </c>
      <c r="E26" s="26"/>
      <c r="F26" s="26"/>
      <c r="G26" s="26"/>
      <c r="H26" s="26"/>
      <c r="I26" s="26"/>
      <c r="J26" s="26"/>
      <c r="K26" s="26"/>
    </row>
    <row r="27" ht="27.75" customHeight="1">
      <c r="A27" s="22" t="s">
        <v>593</v>
      </c>
      <c r="B27" s="23">
        <v>5.0</v>
      </c>
      <c r="C27" s="24" t="s">
        <v>583</v>
      </c>
      <c r="D27" s="25" t="s">
        <v>594</v>
      </c>
      <c r="E27" s="26"/>
      <c r="F27" s="26"/>
      <c r="G27" s="26"/>
      <c r="H27" s="26"/>
      <c r="I27" s="26"/>
      <c r="J27" s="26"/>
      <c r="K27" s="26"/>
    </row>
    <row r="28" ht="18.75" customHeight="1">
      <c r="A28" s="22" t="s">
        <v>595</v>
      </c>
      <c r="B28" s="23">
        <v>0.36</v>
      </c>
      <c r="C28" s="24" t="s">
        <v>583</v>
      </c>
      <c r="D28" s="25" t="s">
        <v>596</v>
      </c>
      <c r="E28" s="26"/>
      <c r="F28" s="26"/>
      <c r="G28" s="26"/>
      <c r="H28" s="26"/>
      <c r="I28" s="26"/>
      <c r="J28" s="26"/>
      <c r="K28" s="26"/>
    </row>
    <row r="29" ht="27.75" customHeight="1">
      <c r="A29" s="22" t="s">
        <v>597</v>
      </c>
      <c r="B29" s="23">
        <v>0.01</v>
      </c>
      <c r="C29" s="24" t="s">
        <v>574</v>
      </c>
      <c r="D29" s="25" t="s">
        <v>598</v>
      </c>
      <c r="E29" s="26"/>
      <c r="F29" s="26"/>
      <c r="G29" s="26"/>
      <c r="H29" s="26"/>
      <c r="I29" s="26"/>
      <c r="J29" s="26"/>
      <c r="K29" s="26"/>
    </row>
    <row r="30" ht="27.75" customHeight="1">
      <c r="A30" s="22" t="s">
        <v>599</v>
      </c>
      <c r="B30" s="23">
        <v>1.0</v>
      </c>
      <c r="C30" s="24" t="s">
        <v>583</v>
      </c>
      <c r="D30" s="25" t="s">
        <v>600</v>
      </c>
      <c r="E30" s="26"/>
      <c r="F30" s="26"/>
      <c r="G30" s="26"/>
      <c r="H30" s="26"/>
      <c r="I30" s="26"/>
      <c r="J30" s="26"/>
      <c r="K30" s="26"/>
    </row>
    <row r="31" ht="27.75" customHeight="1">
      <c r="A31" s="22" t="s">
        <v>601</v>
      </c>
      <c r="B31" s="27">
        <v>0.9</v>
      </c>
      <c r="C31" s="24" t="s">
        <v>549</v>
      </c>
      <c r="D31" s="25" t="s">
        <v>602</v>
      </c>
      <c r="E31" s="26"/>
      <c r="F31" s="26"/>
      <c r="G31" s="26"/>
      <c r="H31" s="26"/>
      <c r="I31" s="26"/>
      <c r="J31" s="26"/>
      <c r="K31" s="26"/>
    </row>
    <row r="32" ht="45.75" customHeight="1">
      <c r="A32" s="28" t="s">
        <v>603</v>
      </c>
      <c r="B32" s="29">
        <f>B5*B8*B7</f>
        <v>2244</v>
      </c>
      <c r="C32" s="30" t="s">
        <v>540</v>
      </c>
      <c r="D32" s="31" t="s">
        <v>604</v>
      </c>
      <c r="E32" s="17"/>
      <c r="F32" s="17"/>
      <c r="G32" s="17"/>
      <c r="H32" s="17"/>
      <c r="I32" s="17"/>
      <c r="J32" s="17"/>
      <c r="K32" s="17"/>
    </row>
    <row r="33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ht="16.5" customHeight="1">
      <c r="A34" s="20" t="s">
        <v>605</v>
      </c>
      <c r="B34" s="2"/>
      <c r="C34" s="2"/>
      <c r="D34" s="2"/>
      <c r="E34" s="2"/>
      <c r="F34" s="2"/>
      <c r="G34" s="2"/>
      <c r="H34" s="2"/>
      <c r="I34" s="2"/>
      <c r="J34" s="2"/>
      <c r="K34" s="3"/>
    </row>
    <row r="35" ht="15.0" customHeight="1">
      <c r="A35" s="22" t="s">
        <v>606</v>
      </c>
      <c r="B35" s="32">
        <f>B11</f>
        <v>0.5</v>
      </c>
      <c r="C35" s="24" t="s">
        <v>557</v>
      </c>
      <c r="D35" s="33" t="s">
        <v>607</v>
      </c>
      <c r="E35" s="17"/>
      <c r="F35" s="17"/>
      <c r="G35" s="17"/>
      <c r="H35" s="17"/>
      <c r="I35" s="17"/>
      <c r="J35" s="17"/>
      <c r="K35" s="17"/>
    </row>
    <row r="36" ht="15.0" customHeight="1">
      <c r="A36" s="22" t="s">
        <v>608</v>
      </c>
      <c r="B36" s="34">
        <f>B11/1000000*B12*1000000</f>
        <v>64</v>
      </c>
      <c r="C36" s="24" t="s">
        <v>609</v>
      </c>
      <c r="D36" s="33" t="s">
        <v>610</v>
      </c>
      <c r="E36" s="17"/>
      <c r="F36" s="17"/>
      <c r="G36" s="17"/>
      <c r="H36" s="17"/>
      <c r="I36" s="17"/>
      <c r="J36" s="17"/>
      <c r="K36" s="17"/>
    </row>
    <row r="37" ht="15.0" customHeight="1">
      <c r="A37" s="22" t="s">
        <v>611</v>
      </c>
      <c r="B37" s="35">
        <v>5000.0</v>
      </c>
      <c r="C37" s="24" t="s">
        <v>609</v>
      </c>
      <c r="D37" s="33" t="s">
        <v>612</v>
      </c>
      <c r="E37" s="17"/>
      <c r="F37" s="17"/>
      <c r="G37" s="17"/>
      <c r="H37" s="17"/>
      <c r="I37" s="17"/>
      <c r="J37" s="17"/>
      <c r="K37" s="17"/>
    </row>
    <row r="38" ht="15.0" customHeight="1">
      <c r="A38" s="22" t="s">
        <v>613</v>
      </c>
      <c r="B38" s="36">
        <f>INT(B37/B36)</f>
        <v>78</v>
      </c>
      <c r="C38" s="24" t="s">
        <v>614</v>
      </c>
      <c r="D38" s="33" t="s">
        <v>615</v>
      </c>
      <c r="E38" s="17"/>
      <c r="F38" s="17"/>
      <c r="G38" s="17"/>
      <c r="H38" s="17"/>
      <c r="I38" s="17"/>
      <c r="J38" s="17"/>
      <c r="K38" s="17"/>
    </row>
    <row r="39" ht="15.0" customHeight="1">
      <c r="A39" s="22" t="s">
        <v>616</v>
      </c>
      <c r="B39" s="37">
        <f>B38*B12/3600</f>
        <v>2.773333333</v>
      </c>
      <c r="C39" s="24" t="s">
        <v>617</v>
      </c>
      <c r="D39" s="33" t="s">
        <v>618</v>
      </c>
      <c r="E39" s="17"/>
      <c r="F39" s="17"/>
      <c r="G39" s="17"/>
      <c r="H39" s="17"/>
      <c r="I39" s="17"/>
      <c r="J39" s="17"/>
      <c r="K39" s="17"/>
    </row>
    <row r="40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</row>
    <row r="41" ht="16.5" customHeight="1">
      <c r="A41" s="20" t="s">
        <v>619</v>
      </c>
      <c r="B41" s="2"/>
      <c r="C41" s="2"/>
      <c r="D41" s="2"/>
      <c r="E41" s="2"/>
      <c r="F41" s="2"/>
      <c r="G41" s="2"/>
      <c r="H41" s="2"/>
      <c r="I41" s="2"/>
      <c r="J41" s="2"/>
      <c r="K41" s="3"/>
    </row>
    <row r="42" ht="25.5" customHeight="1">
      <c r="A42" s="21" t="s">
        <v>620</v>
      </c>
      <c r="B42" s="21" t="s">
        <v>621</v>
      </c>
      <c r="C42" s="21" t="s">
        <v>622</v>
      </c>
      <c r="D42" s="21" t="s">
        <v>623</v>
      </c>
      <c r="E42" s="21" t="s">
        <v>624</v>
      </c>
      <c r="F42" s="21" t="s">
        <v>625</v>
      </c>
      <c r="G42" s="21" t="s">
        <v>626</v>
      </c>
      <c r="H42" s="17"/>
      <c r="I42" s="17"/>
      <c r="J42" s="17"/>
      <c r="K42" s="17"/>
    </row>
    <row r="43" ht="36.75" customHeight="1">
      <c r="A43" s="38" t="s">
        <v>627</v>
      </c>
      <c r="B43" s="39">
        <v>5.0</v>
      </c>
      <c r="C43" s="40">
        <v>0.002</v>
      </c>
      <c r="D43" s="39">
        <v>10.0</v>
      </c>
      <c r="E43" s="40">
        <f t="shared" ref="E43:E58" si="1">B43*C43/3600*1000</f>
        <v>0.002777777778</v>
      </c>
      <c r="F43" s="41">
        <f t="shared" ref="F43:F58" si="2">E43*D43</f>
        <v>0.02777777778</v>
      </c>
      <c r="G43" s="38" t="s">
        <v>628</v>
      </c>
      <c r="H43" s="17"/>
      <c r="I43" s="17"/>
      <c r="J43" s="17"/>
      <c r="K43" s="17"/>
    </row>
    <row r="44" ht="36.75" customHeight="1">
      <c r="A44" s="25" t="s">
        <v>629</v>
      </c>
      <c r="B44" s="42">
        <v>15.0</v>
      </c>
      <c r="C44" s="43">
        <f t="shared" ref="C44:C45" si="3">B16/1000</f>
        <v>0.05</v>
      </c>
      <c r="D44" s="42">
        <v>2.0</v>
      </c>
      <c r="E44" s="43">
        <f t="shared" si="1"/>
        <v>0.2083333333</v>
      </c>
      <c r="F44" s="44">
        <f t="shared" si="2"/>
        <v>0.4166666667</v>
      </c>
      <c r="G44" s="25" t="s">
        <v>630</v>
      </c>
      <c r="H44" s="17"/>
      <c r="I44" s="17"/>
      <c r="J44" s="17"/>
      <c r="K44" s="17"/>
    </row>
    <row r="45" ht="36.75" customHeight="1">
      <c r="A45" s="38" t="s">
        <v>631</v>
      </c>
      <c r="B45" s="39">
        <f>B17/100*15+5</f>
        <v>20</v>
      </c>
      <c r="C45" s="40">
        <f t="shared" si="3"/>
        <v>0.1</v>
      </c>
      <c r="D45" s="39">
        <v>2.0</v>
      </c>
      <c r="E45" s="40">
        <f t="shared" si="1"/>
        <v>0.5555555556</v>
      </c>
      <c r="F45" s="41">
        <f t="shared" si="2"/>
        <v>1.111111111</v>
      </c>
      <c r="G45" s="38" t="s">
        <v>632</v>
      </c>
      <c r="H45" s="17"/>
      <c r="I45" s="17"/>
      <c r="J45" s="17"/>
      <c r="K45" s="17"/>
    </row>
    <row r="46" ht="27.75" customHeight="1">
      <c r="A46" s="25" t="s">
        <v>633</v>
      </c>
      <c r="B46" s="42">
        <v>5.0</v>
      </c>
      <c r="C46" s="43">
        <v>0.03</v>
      </c>
      <c r="D46" s="42">
        <v>2.0</v>
      </c>
      <c r="E46" s="43">
        <f t="shared" si="1"/>
        <v>0.04166666667</v>
      </c>
      <c r="F46" s="44">
        <f t="shared" si="2"/>
        <v>0.08333333333</v>
      </c>
      <c r="G46" s="25" t="s">
        <v>634</v>
      </c>
      <c r="H46" s="17"/>
      <c r="I46" s="17"/>
      <c r="J46" s="17"/>
      <c r="K46" s="17"/>
    </row>
    <row r="47" ht="36.75" customHeight="1">
      <c r="A47" s="38" t="s">
        <v>635</v>
      </c>
      <c r="B47" s="39">
        <f>B20</f>
        <v>320</v>
      </c>
      <c r="C47" s="40">
        <f>B15</f>
        <v>2.1</v>
      </c>
      <c r="D47" s="39">
        <v>2.0</v>
      </c>
      <c r="E47" s="40">
        <f t="shared" si="1"/>
        <v>186.6666667</v>
      </c>
      <c r="F47" s="41">
        <f t="shared" si="2"/>
        <v>373.3333333</v>
      </c>
      <c r="G47" s="38" t="s">
        <v>636</v>
      </c>
      <c r="H47" s="17"/>
      <c r="I47" s="17"/>
      <c r="J47" s="17"/>
      <c r="K47" s="17"/>
    </row>
    <row r="48" ht="36.75" customHeight="1">
      <c r="A48" s="25" t="s">
        <v>637</v>
      </c>
      <c r="B48" s="42">
        <f>B29</f>
        <v>0.01</v>
      </c>
      <c r="C48" s="43">
        <f>B15</f>
        <v>2.1</v>
      </c>
      <c r="D48" s="42">
        <v>2.0</v>
      </c>
      <c r="E48" s="43">
        <f t="shared" si="1"/>
        <v>0.005833333333</v>
      </c>
      <c r="F48" s="44">
        <f t="shared" si="2"/>
        <v>0.01166666667</v>
      </c>
      <c r="G48" s="25" t="s">
        <v>638</v>
      </c>
      <c r="H48" s="17"/>
      <c r="I48" s="17"/>
      <c r="J48" s="17"/>
      <c r="K48" s="17"/>
    </row>
    <row r="49" ht="27.75" customHeight="1">
      <c r="A49" s="38" t="s">
        <v>639</v>
      </c>
      <c r="B49" s="39">
        <f>B21</f>
        <v>5.5</v>
      </c>
      <c r="C49" s="40">
        <v>1.2</v>
      </c>
      <c r="D49" s="39">
        <v>2.0</v>
      </c>
      <c r="E49" s="40">
        <f t="shared" si="1"/>
        <v>1.833333333</v>
      </c>
      <c r="F49" s="41">
        <f t="shared" si="2"/>
        <v>3.666666667</v>
      </c>
      <c r="G49" s="38" t="s">
        <v>640</v>
      </c>
      <c r="H49" s="17"/>
      <c r="I49" s="17"/>
      <c r="J49" s="17"/>
      <c r="K49" s="17"/>
    </row>
    <row r="50" ht="27.75" customHeight="1">
      <c r="A50" s="25" t="s">
        <v>641</v>
      </c>
      <c r="B50" s="42">
        <f>B21</f>
        <v>5.5</v>
      </c>
      <c r="C50" s="43">
        <v>1.2</v>
      </c>
      <c r="D50" s="42">
        <v>2.0</v>
      </c>
      <c r="E50" s="43">
        <f t="shared" si="1"/>
        <v>1.833333333</v>
      </c>
      <c r="F50" s="44">
        <f t="shared" si="2"/>
        <v>3.666666667</v>
      </c>
      <c r="G50" s="25" t="s">
        <v>642</v>
      </c>
      <c r="H50" s="17"/>
      <c r="I50" s="17"/>
      <c r="J50" s="17"/>
      <c r="K50" s="17"/>
    </row>
    <row r="51" ht="27.75" customHeight="1">
      <c r="A51" s="38" t="s">
        <v>643</v>
      </c>
      <c r="B51" s="39">
        <v>15.0</v>
      </c>
      <c r="C51" s="40">
        <v>0.02</v>
      </c>
      <c r="D51" s="39">
        <v>4.0</v>
      </c>
      <c r="E51" s="40">
        <f t="shared" si="1"/>
        <v>0.08333333333</v>
      </c>
      <c r="F51" s="41">
        <f t="shared" si="2"/>
        <v>0.3333333333</v>
      </c>
      <c r="G51" s="38" t="s">
        <v>644</v>
      </c>
      <c r="H51" s="17"/>
      <c r="I51" s="17"/>
      <c r="J51" s="17"/>
      <c r="K51" s="17"/>
    </row>
    <row r="52" ht="45.75" customHeight="1">
      <c r="A52" s="25" t="s">
        <v>645</v>
      </c>
      <c r="B52" s="42">
        <f>(B21+5)</f>
        <v>10.5</v>
      </c>
      <c r="C52" s="43">
        <v>2.12</v>
      </c>
      <c r="D52" s="42">
        <f>24/B39</f>
        <v>8.653846154</v>
      </c>
      <c r="E52" s="43">
        <f t="shared" si="1"/>
        <v>6.183333333</v>
      </c>
      <c r="F52" s="44">
        <f t="shared" si="2"/>
        <v>53.50961538</v>
      </c>
      <c r="G52" s="25" t="s">
        <v>646</v>
      </c>
      <c r="H52" s="17"/>
      <c r="I52" s="17"/>
      <c r="J52" s="17"/>
      <c r="K52" s="17"/>
    </row>
    <row r="53" ht="45.75" customHeight="1">
      <c r="A53" s="38" t="s">
        <v>647</v>
      </c>
      <c r="B53" s="39">
        <f>B21</f>
        <v>5.5</v>
      </c>
      <c r="C53" s="40">
        <v>0.02</v>
      </c>
      <c r="D53" s="39">
        <f>86400/(2^B13*B12)</f>
        <v>84.375</v>
      </c>
      <c r="E53" s="40">
        <f t="shared" si="1"/>
        <v>0.03055555556</v>
      </c>
      <c r="F53" s="41">
        <f t="shared" si="2"/>
        <v>2.578125</v>
      </c>
      <c r="G53" s="38" t="s">
        <v>648</v>
      </c>
      <c r="H53" s="17"/>
      <c r="I53" s="17"/>
      <c r="J53" s="17"/>
      <c r="K53" s="17"/>
    </row>
    <row r="54" ht="27.75" customHeight="1">
      <c r="A54" s="25" t="s">
        <v>649</v>
      </c>
      <c r="B54" s="42">
        <v>20.0</v>
      </c>
      <c r="C54" s="43">
        <v>45.0</v>
      </c>
      <c r="D54" s="42">
        <v>1.0</v>
      </c>
      <c r="E54" s="43">
        <f t="shared" si="1"/>
        <v>250</v>
      </c>
      <c r="F54" s="44">
        <f t="shared" si="2"/>
        <v>250</v>
      </c>
      <c r="G54" s="25" t="s">
        <v>650</v>
      </c>
      <c r="H54" s="17"/>
      <c r="I54" s="17"/>
      <c r="J54" s="17"/>
      <c r="K54" s="17"/>
    </row>
    <row r="55" ht="36.75" customHeight="1">
      <c r="A55" s="38" t="s">
        <v>651</v>
      </c>
      <c r="B55" s="39">
        <v>0.7</v>
      </c>
      <c r="C55" s="40">
        <v>3.0</v>
      </c>
      <c r="D55" s="39">
        <v>8.0</v>
      </c>
      <c r="E55" s="40">
        <f t="shared" si="1"/>
        <v>0.5833333333</v>
      </c>
      <c r="F55" s="41">
        <f t="shared" si="2"/>
        <v>4.666666667</v>
      </c>
      <c r="G55" s="38" t="s">
        <v>652</v>
      </c>
      <c r="H55" s="17"/>
      <c r="I55" s="17"/>
      <c r="J55" s="17"/>
      <c r="K55" s="17"/>
    </row>
    <row r="56" ht="36.75" customHeight="1">
      <c r="A56" s="25" t="s">
        <v>653</v>
      </c>
      <c r="B56" s="42">
        <v>335.0</v>
      </c>
      <c r="C56" s="43">
        <v>5.0</v>
      </c>
      <c r="D56" s="42">
        <v>0.0</v>
      </c>
      <c r="E56" s="43">
        <f t="shared" si="1"/>
        <v>465.2777778</v>
      </c>
      <c r="F56" s="44">
        <f t="shared" si="2"/>
        <v>0</v>
      </c>
      <c r="G56" s="25" t="s">
        <v>654</v>
      </c>
      <c r="H56" s="17"/>
      <c r="I56" s="17"/>
      <c r="J56" s="17"/>
      <c r="K56" s="17"/>
    </row>
    <row r="57" ht="36.75" customHeight="1">
      <c r="A57" s="38" t="s">
        <v>655</v>
      </c>
      <c r="B57" s="39">
        <v>2.0</v>
      </c>
      <c r="C57" s="40">
        <v>0.005</v>
      </c>
      <c r="D57" s="39">
        <v>24.0</v>
      </c>
      <c r="E57" s="40">
        <f t="shared" si="1"/>
        <v>0.002777777778</v>
      </c>
      <c r="F57" s="41">
        <f t="shared" si="2"/>
        <v>0.06666666667</v>
      </c>
      <c r="G57" s="38" t="s">
        <v>656</v>
      </c>
      <c r="H57" s="17"/>
      <c r="I57" s="17"/>
      <c r="J57" s="17"/>
      <c r="K57" s="17"/>
    </row>
    <row r="58" ht="54.75" customHeight="1">
      <c r="A58" s="45" t="s">
        <v>657</v>
      </c>
      <c r="B58" s="46">
        <f>B23/1000+B22/1000+B24/1000+B25/1000+B26/1000+B27/1000+B30/1000</f>
        <v>0.0509</v>
      </c>
      <c r="C58" s="47">
        <f>MAX(0, 86400-(C43*D43+C44*D44+C45*D45+C46*D46+C47*D47+C48*D48+C49*D49+C50*D50+C51*D51+C52*D52+C53*D53+C54*D54+C55*D55+C56*D56+C57*D57))</f>
        <v>86297.18635</v>
      </c>
      <c r="D58" s="48">
        <v>1.0</v>
      </c>
      <c r="E58" s="49">
        <f t="shared" si="1"/>
        <v>1220.146329</v>
      </c>
      <c r="F58" s="49">
        <f t="shared" si="2"/>
        <v>1220.146329</v>
      </c>
      <c r="G58" s="50" t="s">
        <v>658</v>
      </c>
      <c r="H58" s="17"/>
      <c r="I58" s="17"/>
      <c r="J58" s="17"/>
      <c r="K58" s="17"/>
    </row>
    <row r="59" ht="16.5" customHeight="1">
      <c r="A59" s="20" t="s">
        <v>659</v>
      </c>
      <c r="B59" s="2"/>
      <c r="C59" s="2"/>
      <c r="D59" s="2"/>
      <c r="E59" s="2"/>
      <c r="F59" s="2"/>
      <c r="G59" s="2"/>
      <c r="H59" s="2"/>
      <c r="I59" s="2"/>
      <c r="J59" s="2"/>
      <c r="K59" s="3"/>
    </row>
    <row r="60" ht="15.0" customHeight="1">
      <c r="A60" s="51" t="s">
        <v>660</v>
      </c>
      <c r="B60" s="17"/>
      <c r="C60" s="17"/>
      <c r="D60" s="17"/>
      <c r="E60" s="17"/>
      <c r="F60" s="52">
        <f>SUM(F43:F57)</f>
        <v>693.4716293</v>
      </c>
      <c r="G60" s="30" t="s">
        <v>661</v>
      </c>
      <c r="H60" s="17"/>
      <c r="I60" s="17"/>
      <c r="J60" s="17"/>
      <c r="K60" s="17"/>
    </row>
    <row r="61" ht="15.0" customHeight="1">
      <c r="A61" s="51" t="s">
        <v>662</v>
      </c>
      <c r="B61" s="17"/>
      <c r="C61" s="17"/>
      <c r="D61" s="17"/>
      <c r="E61" s="17"/>
      <c r="F61" s="53">
        <f>F58</f>
        <v>1220.146329</v>
      </c>
      <c r="G61" s="54" t="s">
        <v>661</v>
      </c>
      <c r="H61" s="17"/>
      <c r="I61" s="17"/>
      <c r="J61" s="17"/>
      <c r="K61" s="17"/>
    </row>
    <row r="62" ht="15.0" customHeight="1">
      <c r="A62" s="55" t="s">
        <v>663</v>
      </c>
      <c r="B62" s="56"/>
      <c r="C62" s="56"/>
      <c r="D62" s="56"/>
      <c r="E62" s="56"/>
      <c r="F62" s="57">
        <f>F60+F61</f>
        <v>1913.617958</v>
      </c>
      <c r="G62" s="58" t="s">
        <v>664</v>
      </c>
      <c r="H62" s="17"/>
      <c r="I62" s="17"/>
      <c r="J62" s="17"/>
      <c r="K62" s="17"/>
    </row>
    <row r="63" ht="15.0" customHeight="1">
      <c r="A63" s="59" t="s">
        <v>665</v>
      </c>
      <c r="B63" s="17"/>
      <c r="C63" s="17"/>
      <c r="D63" s="17"/>
      <c r="E63" s="17"/>
      <c r="F63" s="60">
        <f>F62/1000</f>
        <v>1.913617958</v>
      </c>
      <c r="G63" s="30" t="s">
        <v>666</v>
      </c>
      <c r="H63" s="17"/>
      <c r="I63" s="17"/>
      <c r="J63" s="17"/>
      <c r="K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</row>
    <row r="65" ht="16.5" customHeight="1">
      <c r="A65" s="20" t="s">
        <v>667</v>
      </c>
      <c r="B65" s="2"/>
      <c r="C65" s="2"/>
      <c r="D65" s="2"/>
      <c r="E65" s="2"/>
      <c r="F65" s="2"/>
      <c r="G65" s="2"/>
      <c r="H65" s="2"/>
      <c r="I65" s="2"/>
      <c r="J65" s="2"/>
      <c r="K65" s="3"/>
    </row>
    <row r="66" ht="25.5" customHeight="1">
      <c r="A66" s="21" t="s">
        <v>668</v>
      </c>
      <c r="B66" s="21" t="s">
        <v>669</v>
      </c>
      <c r="C66" s="21" t="s">
        <v>670</v>
      </c>
      <c r="D66" s="21" t="s">
        <v>671</v>
      </c>
      <c r="E66" s="21" t="s">
        <v>672</v>
      </c>
      <c r="F66" s="21" t="s">
        <v>673</v>
      </c>
      <c r="G66" s="21" t="s">
        <v>674</v>
      </c>
      <c r="H66" s="21" t="s">
        <v>675</v>
      </c>
      <c r="I66" s="17"/>
      <c r="J66" s="17"/>
      <c r="K66" s="17"/>
    </row>
    <row r="67" ht="15.0" customHeight="1">
      <c r="A67" s="61">
        <v>2500.0</v>
      </c>
      <c r="B67" s="61">
        <f>2500*B8*B7</f>
        <v>1870</v>
      </c>
      <c r="C67" s="61">
        <f>F63</f>
        <v>1.913617958</v>
      </c>
      <c r="D67" s="61">
        <f>F63*365*B31</f>
        <v>628.6234993</v>
      </c>
      <c r="E67" s="62">
        <f>(2500*B8*B7)/F63</f>
        <v>977.2065483</v>
      </c>
      <c r="F67" s="63">
        <f t="shared" ref="F67:F71" si="4">D67/365</f>
        <v>1.722256163</v>
      </c>
      <c r="G67" s="64" t="str">
        <f t="shared" ref="G67:G71" si="5">IF(C67&gt;=D67,"✅ PASS — ≥1 Year","❌ FAIL — Increase Cap")</f>
        <v>❌ FAIL — Increase Cap</v>
      </c>
      <c r="H67" s="64" t="str">
        <f t="shared" ref="H67:H71" si="6">IF(E67&gt;=730,"🏆 Excellent (≥2yr)","✅ Good (≥1yr)")</f>
        <v>🏆 Excellent (≥2yr)</v>
      </c>
      <c r="I67" s="17"/>
      <c r="J67" s="17"/>
      <c r="K67" s="17"/>
    </row>
    <row r="68" ht="15.0" customHeight="1">
      <c r="A68" s="65">
        <v>2800.0</v>
      </c>
      <c r="B68" s="65">
        <f>2800*B8*B7</f>
        <v>2094.4</v>
      </c>
      <c r="C68" s="65">
        <f>F63</f>
        <v>1.913617958</v>
      </c>
      <c r="D68" s="65">
        <f>F63*365*B31</f>
        <v>628.6234993</v>
      </c>
      <c r="E68" s="66">
        <f>(2800*B8*B7)/F63</f>
        <v>1094.471334</v>
      </c>
      <c r="F68" s="67">
        <f t="shared" si="4"/>
        <v>1.722256163</v>
      </c>
      <c r="G68" s="68" t="str">
        <f t="shared" si="5"/>
        <v>❌ FAIL — Increase Cap</v>
      </c>
      <c r="H68" s="68" t="str">
        <f t="shared" si="6"/>
        <v>🏆 Excellent (≥2yr)</v>
      </c>
      <c r="I68" s="17"/>
      <c r="J68" s="17"/>
      <c r="K68" s="17"/>
    </row>
    <row r="69" ht="15.0" customHeight="1">
      <c r="A69" s="69">
        <v>3000.0</v>
      </c>
      <c r="B69" s="69">
        <f>3000*B8*B7</f>
        <v>2244</v>
      </c>
      <c r="C69" s="69">
        <f>F63</f>
        <v>1.913617958</v>
      </c>
      <c r="D69" s="69">
        <f>F63*365*B31</f>
        <v>628.6234993</v>
      </c>
      <c r="E69" s="70">
        <f>(3000*B8*B7)/F63</f>
        <v>1172.647858</v>
      </c>
      <c r="F69" s="71">
        <f t="shared" si="4"/>
        <v>1.722256163</v>
      </c>
      <c r="G69" s="72" t="str">
        <f t="shared" si="5"/>
        <v>❌ FAIL — Increase Cap</v>
      </c>
      <c r="H69" s="72" t="str">
        <f t="shared" si="6"/>
        <v>🏆 Excellent (≥2yr)</v>
      </c>
      <c r="I69" s="17"/>
      <c r="J69" s="17"/>
      <c r="K69" s="17"/>
    </row>
    <row r="70" ht="15.0" customHeight="1">
      <c r="A70" s="65">
        <v>3200.0</v>
      </c>
      <c r="B70" s="65">
        <f>3200*B8*B7</f>
        <v>2393.6</v>
      </c>
      <c r="C70" s="65">
        <f>F63</f>
        <v>1.913617958</v>
      </c>
      <c r="D70" s="65">
        <f>F63*365*B31</f>
        <v>628.6234993</v>
      </c>
      <c r="E70" s="66">
        <f>(3200*B8*B7)/F63</f>
        <v>1250.824382</v>
      </c>
      <c r="F70" s="67">
        <f t="shared" si="4"/>
        <v>1.722256163</v>
      </c>
      <c r="G70" s="68" t="str">
        <f t="shared" si="5"/>
        <v>❌ FAIL — Increase Cap</v>
      </c>
      <c r="H70" s="68" t="str">
        <f t="shared" si="6"/>
        <v>🏆 Excellent (≥2yr)</v>
      </c>
      <c r="I70" s="17"/>
      <c r="J70" s="17"/>
      <c r="K70" s="17"/>
    </row>
    <row r="71" ht="15.0" customHeight="1">
      <c r="A71" s="61">
        <v>3500.0</v>
      </c>
      <c r="B71" s="61">
        <f>3500*B8*B7</f>
        <v>2618</v>
      </c>
      <c r="C71" s="61">
        <f>F63</f>
        <v>1.913617958</v>
      </c>
      <c r="D71" s="61">
        <f>F63*365*B31</f>
        <v>628.6234993</v>
      </c>
      <c r="E71" s="62">
        <f>(3500*B8*B7)/F63</f>
        <v>1368.089168</v>
      </c>
      <c r="F71" s="63">
        <f t="shared" si="4"/>
        <v>1.722256163</v>
      </c>
      <c r="G71" s="64" t="str">
        <f t="shared" si="5"/>
        <v>❌ FAIL — Increase Cap</v>
      </c>
      <c r="H71" s="64" t="str">
        <f t="shared" si="6"/>
        <v>🏆 Excellent (≥2yr)</v>
      </c>
      <c r="I71" s="17"/>
      <c r="J71" s="17"/>
      <c r="K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ht="16.5" customHeight="1">
      <c r="A74" s="20" t="s">
        <v>676</v>
      </c>
      <c r="B74" s="2"/>
      <c r="C74" s="2"/>
      <c r="D74" s="2"/>
      <c r="E74" s="2"/>
      <c r="F74" s="2"/>
      <c r="G74" s="2"/>
      <c r="H74" s="2"/>
      <c r="I74" s="2"/>
      <c r="J74" s="2"/>
      <c r="K74" s="3"/>
    </row>
    <row r="75" ht="36.75" customHeight="1">
      <c r="A75" s="73" t="s">
        <v>677</v>
      </c>
      <c r="B75" s="74">
        <f>CEILING(F63*365*B31/(B8*B7),100)</f>
        <v>900</v>
      </c>
      <c r="C75" s="75" t="s">
        <v>540</v>
      </c>
      <c r="D75" s="38" t="s">
        <v>678</v>
      </c>
      <c r="E75" s="17"/>
      <c r="F75" s="17"/>
      <c r="G75" s="17"/>
      <c r="H75" s="17"/>
      <c r="I75" s="17"/>
      <c r="J75" s="17"/>
      <c r="K75" s="17"/>
    </row>
    <row r="76" ht="54.75" customHeight="1">
      <c r="A76" s="28" t="s">
        <v>679</v>
      </c>
      <c r="B76" s="52">
        <v>3000.0</v>
      </c>
      <c r="C76" s="76" t="s">
        <v>540</v>
      </c>
      <c r="D76" s="31" t="s">
        <v>680</v>
      </c>
      <c r="E76" s="17"/>
      <c r="F76" s="17"/>
      <c r="G76" s="17"/>
      <c r="H76" s="17"/>
      <c r="I76" s="17"/>
      <c r="J76" s="17"/>
      <c r="K76" s="17"/>
    </row>
    <row r="77" ht="36.75" customHeight="1">
      <c r="A77" s="73" t="s">
        <v>681</v>
      </c>
      <c r="B77" s="74">
        <v>3500.0</v>
      </c>
      <c r="C77" s="75" t="s">
        <v>540</v>
      </c>
      <c r="D77" s="38" t="s">
        <v>682</v>
      </c>
      <c r="E77" s="17"/>
      <c r="F77" s="17"/>
      <c r="G77" s="17"/>
      <c r="H77" s="17"/>
      <c r="I77" s="17"/>
      <c r="J77" s="17"/>
      <c r="K77" s="17"/>
    </row>
    <row r="78" ht="45.75" customHeight="1">
      <c r="A78" s="77" t="s">
        <v>683</v>
      </c>
      <c r="B78" s="78">
        <f>F63/24</f>
        <v>0.0797340816</v>
      </c>
      <c r="C78" s="79" t="s">
        <v>574</v>
      </c>
      <c r="D78" s="25" t="s">
        <v>684</v>
      </c>
      <c r="E78" s="17"/>
      <c r="F78" s="17"/>
      <c r="G78" s="17"/>
      <c r="H78" s="17"/>
      <c r="I78" s="17"/>
      <c r="J78" s="17"/>
      <c r="K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</row>
    <row r="998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</row>
    <row r="999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</row>
    <row r="1000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</row>
  </sheetData>
  <mergeCells count="8">
    <mergeCell ref="A1:K1"/>
    <mergeCell ref="A2:K2"/>
    <mergeCell ref="A3:K3"/>
    <mergeCell ref="A34:K34"/>
    <mergeCell ref="A41:K41"/>
    <mergeCell ref="A59:K59"/>
    <mergeCell ref="A65:K65"/>
    <mergeCell ref="A74:K74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3A1A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0.0"/>
    <col customWidth="1" min="2" max="2" width="14.0"/>
    <col customWidth="1" min="3" max="3" width="12.0"/>
    <col customWidth="1" min="4" max="4" width="30.0"/>
    <col customWidth="1" min="5" max="5" width="12.0"/>
    <col customWidth="1" min="6" max="6" width="14.0"/>
    <col customWidth="1" min="7" max="7" width="12.0"/>
    <col customWidth="1" min="8" max="9" width="14.0"/>
    <col customWidth="1" min="10" max="26" width="8.71"/>
  </cols>
  <sheetData>
    <row r="1" ht="27.75" customHeight="1">
      <c r="A1" s="80" t="s">
        <v>685</v>
      </c>
      <c r="B1" s="2"/>
      <c r="C1" s="2"/>
      <c r="D1" s="2"/>
      <c r="E1" s="2"/>
      <c r="F1" s="2"/>
      <c r="G1" s="2"/>
      <c r="H1" s="2"/>
      <c r="I1" s="3"/>
    </row>
    <row r="2" ht="13.5" customHeight="1">
      <c r="A2" s="81" t="s">
        <v>686</v>
      </c>
      <c r="B2" s="2"/>
      <c r="C2" s="2"/>
      <c r="D2" s="2"/>
      <c r="E2" s="2"/>
      <c r="F2" s="2"/>
      <c r="G2" s="2"/>
      <c r="H2" s="2"/>
      <c r="I2" s="3"/>
    </row>
    <row r="3" ht="16.5" customHeight="1">
      <c r="A3" s="82" t="s">
        <v>687</v>
      </c>
      <c r="B3" s="2"/>
      <c r="C3" s="2"/>
      <c r="D3" s="2"/>
      <c r="E3" s="2"/>
      <c r="F3" s="2"/>
      <c r="G3" s="2"/>
      <c r="H3" s="2"/>
      <c r="I3" s="3"/>
    </row>
    <row r="4" ht="15.0" customHeight="1">
      <c r="A4" s="22" t="s">
        <v>688</v>
      </c>
      <c r="B4" s="83">
        <v>90.0</v>
      </c>
      <c r="C4" s="84" t="s">
        <v>689</v>
      </c>
      <c r="D4" s="25" t="s">
        <v>690</v>
      </c>
      <c r="E4" s="17"/>
      <c r="F4" s="17"/>
      <c r="G4" s="17"/>
      <c r="H4" s="17"/>
      <c r="I4" s="17"/>
    </row>
    <row r="5" ht="15.0" customHeight="1">
      <c r="A5" s="22" t="s">
        <v>691</v>
      </c>
      <c r="B5" s="83">
        <v>70.0</v>
      </c>
      <c r="C5" s="84" t="s">
        <v>689</v>
      </c>
      <c r="D5" s="25" t="s">
        <v>690</v>
      </c>
      <c r="E5" s="17"/>
      <c r="F5" s="17"/>
      <c r="G5" s="17"/>
      <c r="H5" s="17"/>
      <c r="I5" s="17"/>
    </row>
    <row r="6" ht="15.0" customHeight="1">
      <c r="A6" s="22" t="s">
        <v>692</v>
      </c>
      <c r="B6" s="83">
        <v>12.0</v>
      </c>
      <c r="C6" s="84" t="s">
        <v>689</v>
      </c>
      <c r="D6" s="25" t="s">
        <v>693</v>
      </c>
      <c r="E6" s="17"/>
      <c r="F6" s="17"/>
      <c r="G6" s="17"/>
      <c r="H6" s="17"/>
      <c r="I6" s="17"/>
    </row>
    <row r="7" ht="15.0" customHeight="1">
      <c r="A7" s="22" t="s">
        <v>694</v>
      </c>
      <c r="B7" s="83">
        <v>1.5</v>
      </c>
      <c r="C7" s="84" t="s">
        <v>689</v>
      </c>
      <c r="D7" s="25" t="s">
        <v>695</v>
      </c>
      <c r="E7" s="17"/>
      <c r="F7" s="17"/>
      <c r="G7" s="17"/>
      <c r="H7" s="17"/>
      <c r="I7" s="17"/>
    </row>
    <row r="8" ht="15.0" customHeight="1">
      <c r="A8" s="85" t="s">
        <v>696</v>
      </c>
      <c r="B8" s="86">
        <f>B4-2*B7</f>
        <v>87</v>
      </c>
      <c r="C8" s="84" t="s">
        <v>689</v>
      </c>
      <c r="D8" s="25" t="s">
        <v>697</v>
      </c>
      <c r="E8" s="17"/>
      <c r="F8" s="17"/>
      <c r="G8" s="17"/>
      <c r="H8" s="17"/>
      <c r="I8" s="17"/>
    </row>
    <row r="9" ht="15.0" customHeight="1">
      <c r="A9" s="85" t="s">
        <v>698</v>
      </c>
      <c r="B9" s="86">
        <f>B5-2*B7</f>
        <v>67</v>
      </c>
      <c r="C9" s="84" t="s">
        <v>689</v>
      </c>
      <c r="D9" s="25" t="s">
        <v>699</v>
      </c>
      <c r="E9" s="17"/>
      <c r="F9" s="17"/>
      <c r="G9" s="17"/>
      <c r="H9" s="17"/>
      <c r="I9" s="17"/>
    </row>
    <row r="10" ht="15.0" customHeight="1">
      <c r="A10" s="22" t="s">
        <v>700</v>
      </c>
      <c r="B10" s="83">
        <v>1.6</v>
      </c>
      <c r="C10" s="84" t="s">
        <v>689</v>
      </c>
      <c r="D10" s="25" t="s">
        <v>701</v>
      </c>
      <c r="E10" s="17"/>
      <c r="F10" s="17"/>
      <c r="G10" s="17"/>
      <c r="H10" s="17"/>
      <c r="I10" s="17"/>
    </row>
    <row r="11" ht="15.0" customHeight="1">
      <c r="A11" s="22" t="s">
        <v>702</v>
      </c>
      <c r="B11" s="83">
        <v>2.4</v>
      </c>
      <c r="C11" s="84" t="s">
        <v>689</v>
      </c>
      <c r="D11" s="25" t="s">
        <v>703</v>
      </c>
      <c r="E11" s="17"/>
      <c r="F11" s="17"/>
      <c r="G11" s="17"/>
      <c r="H11" s="17"/>
      <c r="I11" s="17"/>
    </row>
    <row r="12" ht="15.0" customHeight="1">
      <c r="A12" s="22" t="s">
        <v>704</v>
      </c>
      <c r="B12" s="83">
        <v>1.2</v>
      </c>
      <c r="C12" s="84" t="s">
        <v>689</v>
      </c>
      <c r="D12" s="25" t="s">
        <v>705</v>
      </c>
      <c r="E12" s="17"/>
      <c r="F12" s="17"/>
      <c r="G12" s="17"/>
      <c r="H12" s="17"/>
      <c r="I12" s="17"/>
    </row>
    <row r="13" ht="15.0" customHeight="1">
      <c r="A13" s="22" t="s">
        <v>706</v>
      </c>
      <c r="B13" s="83">
        <v>4.8</v>
      </c>
      <c r="C13" s="84" t="s">
        <v>689</v>
      </c>
      <c r="D13" s="25" t="s">
        <v>707</v>
      </c>
      <c r="E13" s="17"/>
      <c r="F13" s="17"/>
      <c r="G13" s="17"/>
      <c r="H13" s="17"/>
      <c r="I13" s="17"/>
    </row>
    <row r="14" ht="15.0" customHeight="1">
      <c r="A14" s="22" t="s">
        <v>708</v>
      </c>
      <c r="B14" s="83">
        <v>60.0</v>
      </c>
      <c r="C14" s="84" t="s">
        <v>689</v>
      </c>
      <c r="D14" s="25" t="s">
        <v>709</v>
      </c>
      <c r="E14" s="17"/>
      <c r="F14" s="17"/>
      <c r="G14" s="17"/>
      <c r="H14" s="17"/>
      <c r="I14" s="17"/>
    </row>
    <row r="15" ht="15.0" customHeight="1">
      <c r="A15" s="22" t="s">
        <v>710</v>
      </c>
      <c r="B15" s="83">
        <v>40.0</v>
      </c>
      <c r="C15" s="84" t="s">
        <v>689</v>
      </c>
      <c r="D15" s="25" t="s">
        <v>709</v>
      </c>
      <c r="E15" s="17"/>
      <c r="F15" s="17"/>
      <c r="G15" s="17"/>
      <c r="H15" s="17"/>
      <c r="I15" s="17"/>
    </row>
    <row r="16" ht="15.0" customHeight="1">
      <c r="A16" s="22" t="s">
        <v>711</v>
      </c>
      <c r="B16" s="83">
        <v>0.3</v>
      </c>
      <c r="C16" s="84" t="s">
        <v>689</v>
      </c>
      <c r="D16" s="25" t="s">
        <v>712</v>
      </c>
      <c r="E16" s="17"/>
      <c r="F16" s="17"/>
      <c r="G16" s="17"/>
      <c r="H16" s="17"/>
      <c r="I16" s="17"/>
    </row>
    <row r="17" ht="15.0" customHeight="1">
      <c r="A17" s="22" t="s">
        <v>713</v>
      </c>
      <c r="B17" s="83">
        <v>1.2</v>
      </c>
      <c r="C17" s="84" t="s">
        <v>689</v>
      </c>
      <c r="D17" s="25" t="s">
        <v>714</v>
      </c>
      <c r="E17" s="17"/>
      <c r="F17" s="17"/>
      <c r="G17" s="17"/>
      <c r="H17" s="17"/>
      <c r="I17" s="17"/>
    </row>
    <row r="18" ht="15.0" customHeight="1">
      <c r="A18" s="85" t="s">
        <v>715</v>
      </c>
      <c r="B18" s="86">
        <f>B6-2*B7</f>
        <v>9</v>
      </c>
      <c r="C18" s="84" t="s">
        <v>689</v>
      </c>
      <c r="D18" s="25" t="s">
        <v>716</v>
      </c>
      <c r="E18" s="17"/>
      <c r="F18" s="17"/>
      <c r="G18" s="17"/>
      <c r="H18" s="17"/>
      <c r="I18" s="17"/>
    </row>
    <row r="19" ht="15.0" customHeight="1">
      <c r="A19" s="85" t="s">
        <v>717</v>
      </c>
      <c r="B19" s="86">
        <f>B10+B11+B16+B13</f>
        <v>9.1</v>
      </c>
      <c r="C19" s="84" t="s">
        <v>689</v>
      </c>
      <c r="D19" s="25" t="s">
        <v>718</v>
      </c>
      <c r="E19" s="17"/>
      <c r="F19" s="17"/>
      <c r="G19" s="17"/>
      <c r="H19" s="17"/>
      <c r="I19" s="17"/>
    </row>
    <row r="20" ht="15.0" customHeight="1">
      <c r="A20" s="85" t="s">
        <v>719</v>
      </c>
      <c r="B20" s="86" t="str">
        <f>IF(B19&lt;=B18,"✅ FIT OK","❌ STACK OVERFLOW")</f>
        <v>❌ STACK OVERFLOW</v>
      </c>
      <c r="C20" s="84" t="s">
        <v>28</v>
      </c>
      <c r="D20" s="25" t="s">
        <v>720</v>
      </c>
      <c r="E20" s="17"/>
      <c r="F20" s="17"/>
      <c r="G20" s="17"/>
      <c r="H20" s="17"/>
      <c r="I20" s="17"/>
    </row>
    <row r="21" ht="15.0" customHeight="1">
      <c r="A21" s="22" t="s">
        <v>721</v>
      </c>
      <c r="B21" s="83">
        <v>3.0</v>
      </c>
      <c r="C21" s="84" t="s">
        <v>689</v>
      </c>
      <c r="D21" s="25" t="s">
        <v>722</v>
      </c>
      <c r="E21" s="17"/>
      <c r="F21" s="17"/>
      <c r="G21" s="17"/>
      <c r="H21" s="17"/>
      <c r="I21" s="17"/>
    </row>
    <row r="22" ht="15.0" customHeight="1">
      <c r="A22" s="22" t="s">
        <v>723</v>
      </c>
      <c r="B22" s="83">
        <v>3.2</v>
      </c>
      <c r="C22" s="84" t="s">
        <v>689</v>
      </c>
      <c r="D22" s="25" t="s">
        <v>724</v>
      </c>
      <c r="E22" s="17"/>
      <c r="F22" s="17"/>
      <c r="G22" s="17"/>
      <c r="H22" s="17"/>
      <c r="I22" s="17"/>
    </row>
    <row r="23" ht="15.75" customHeight="1">
      <c r="A23" s="17"/>
      <c r="B23" s="17"/>
      <c r="C23" s="17"/>
      <c r="D23" s="17"/>
      <c r="E23" s="17"/>
      <c r="F23" s="17"/>
      <c r="G23" s="17"/>
      <c r="H23" s="17"/>
      <c r="I23" s="17"/>
    </row>
    <row r="24" ht="16.5" customHeight="1">
      <c r="A24" s="82" t="s">
        <v>725</v>
      </c>
      <c r="B24" s="2"/>
      <c r="C24" s="2"/>
      <c r="D24" s="2"/>
      <c r="E24" s="2"/>
      <c r="F24" s="2"/>
      <c r="G24" s="2"/>
      <c r="H24" s="2"/>
      <c r="I24" s="3"/>
    </row>
    <row r="25" ht="24.0" customHeight="1">
      <c r="A25" s="87" t="s">
        <v>726</v>
      </c>
      <c r="B25" s="87" t="s">
        <v>9</v>
      </c>
      <c r="C25" s="87" t="s">
        <v>727</v>
      </c>
      <c r="D25" s="87" t="s">
        <v>728</v>
      </c>
      <c r="E25" s="87" t="s">
        <v>729</v>
      </c>
      <c r="F25" s="87" t="s">
        <v>730</v>
      </c>
      <c r="G25" s="87" t="s">
        <v>15</v>
      </c>
      <c r="H25" s="87" t="s">
        <v>626</v>
      </c>
      <c r="I25" s="17"/>
    </row>
    <row r="26" ht="63.75" customHeight="1">
      <c r="A26" s="12" t="s">
        <v>731</v>
      </c>
      <c r="B26" s="11">
        <v>1.0</v>
      </c>
      <c r="C26" s="39">
        <f>B8*B9*B10/1000*1.85</f>
        <v>17.25384</v>
      </c>
      <c r="D26" s="39">
        <f t="shared" ref="D26:D59" si="1">B26*C26</f>
        <v>17.25384</v>
      </c>
      <c r="E26" s="12" t="s">
        <v>732</v>
      </c>
      <c r="F26" s="12" t="s">
        <v>733</v>
      </c>
      <c r="G26" s="12" t="s">
        <v>734</v>
      </c>
      <c r="H26" s="13" t="s">
        <v>735</v>
      </c>
      <c r="I26" s="17"/>
    </row>
    <row r="27" ht="15.0" customHeight="1">
      <c r="A27" s="8" t="s">
        <v>736</v>
      </c>
      <c r="B27" s="7">
        <v>1.0</v>
      </c>
      <c r="C27" s="42">
        <v>0.38</v>
      </c>
      <c r="D27" s="42">
        <f t="shared" si="1"/>
        <v>0.38</v>
      </c>
      <c r="E27" s="8" t="s">
        <v>737</v>
      </c>
      <c r="F27" s="8" t="s">
        <v>738</v>
      </c>
      <c r="G27" s="8" t="s">
        <v>739</v>
      </c>
      <c r="H27" s="9" t="s">
        <v>740</v>
      </c>
      <c r="I27" s="17"/>
    </row>
    <row r="28" ht="18.75" customHeight="1">
      <c r="A28" s="12" t="s">
        <v>741</v>
      </c>
      <c r="B28" s="11">
        <v>1.0</v>
      </c>
      <c r="C28" s="39">
        <v>0.16</v>
      </c>
      <c r="D28" s="39">
        <f t="shared" si="1"/>
        <v>0.16</v>
      </c>
      <c r="E28" s="12" t="s">
        <v>737</v>
      </c>
      <c r="F28" s="12" t="s">
        <v>742</v>
      </c>
      <c r="G28" s="12" t="s">
        <v>739</v>
      </c>
      <c r="H28" s="13" t="s">
        <v>743</v>
      </c>
      <c r="I28" s="17"/>
    </row>
    <row r="29" ht="18.75" customHeight="1">
      <c r="A29" s="8" t="s">
        <v>744</v>
      </c>
      <c r="B29" s="7">
        <v>1.0</v>
      </c>
      <c r="C29" s="42">
        <v>2.3</v>
      </c>
      <c r="D29" s="42">
        <f t="shared" si="1"/>
        <v>2.3</v>
      </c>
      <c r="E29" s="8" t="s">
        <v>745</v>
      </c>
      <c r="F29" s="8" t="s">
        <v>746</v>
      </c>
      <c r="G29" s="8" t="s">
        <v>739</v>
      </c>
      <c r="H29" s="9" t="s">
        <v>747</v>
      </c>
      <c r="I29" s="17"/>
    </row>
    <row r="30" ht="15.0" customHeight="1">
      <c r="A30" s="12" t="s">
        <v>748</v>
      </c>
      <c r="B30" s="11">
        <v>1.0</v>
      </c>
      <c r="C30" s="39">
        <v>0.06</v>
      </c>
      <c r="D30" s="39">
        <f t="shared" si="1"/>
        <v>0.06</v>
      </c>
      <c r="E30" s="12" t="s">
        <v>737</v>
      </c>
      <c r="F30" s="12" t="s">
        <v>749</v>
      </c>
      <c r="G30" s="12" t="s">
        <v>739</v>
      </c>
      <c r="H30" s="13" t="s">
        <v>750</v>
      </c>
      <c r="I30" s="17"/>
    </row>
    <row r="31" ht="18.75" customHeight="1">
      <c r="A31" s="8" t="s">
        <v>751</v>
      </c>
      <c r="B31" s="7">
        <v>1.0</v>
      </c>
      <c r="C31" s="42">
        <v>0.12</v>
      </c>
      <c r="D31" s="42">
        <f t="shared" si="1"/>
        <v>0.12</v>
      </c>
      <c r="E31" s="8" t="s">
        <v>737</v>
      </c>
      <c r="F31" s="8" t="s">
        <v>752</v>
      </c>
      <c r="G31" s="8" t="s">
        <v>739</v>
      </c>
      <c r="H31" s="9" t="s">
        <v>753</v>
      </c>
      <c r="I31" s="17"/>
    </row>
    <row r="32" ht="15.0" customHeight="1">
      <c r="A32" s="12" t="s">
        <v>754</v>
      </c>
      <c r="B32" s="11">
        <v>1.0</v>
      </c>
      <c r="C32" s="39">
        <v>0.05</v>
      </c>
      <c r="D32" s="39">
        <f t="shared" si="1"/>
        <v>0.05</v>
      </c>
      <c r="E32" s="12" t="s">
        <v>755</v>
      </c>
      <c r="F32" s="12" t="s">
        <v>756</v>
      </c>
      <c r="G32" s="12" t="s">
        <v>739</v>
      </c>
      <c r="H32" s="13" t="s">
        <v>757</v>
      </c>
      <c r="I32" s="17"/>
    </row>
    <row r="33" ht="15.0" customHeight="1">
      <c r="A33" s="8" t="s">
        <v>758</v>
      </c>
      <c r="B33" s="7">
        <v>1.0</v>
      </c>
      <c r="C33" s="42">
        <v>0.45</v>
      </c>
      <c r="D33" s="42">
        <f t="shared" si="1"/>
        <v>0.45</v>
      </c>
      <c r="E33" s="8" t="s">
        <v>737</v>
      </c>
      <c r="F33" s="8" t="s">
        <v>759</v>
      </c>
      <c r="G33" s="8" t="s">
        <v>739</v>
      </c>
      <c r="H33" s="9" t="s">
        <v>760</v>
      </c>
      <c r="I33" s="17"/>
    </row>
    <row r="34" ht="18.75" customHeight="1">
      <c r="A34" s="12" t="s">
        <v>761</v>
      </c>
      <c r="B34" s="11">
        <v>2.0</v>
      </c>
      <c r="C34" s="39">
        <v>0.12</v>
      </c>
      <c r="D34" s="39">
        <f t="shared" si="1"/>
        <v>0.24</v>
      </c>
      <c r="E34" s="12" t="s">
        <v>762</v>
      </c>
      <c r="F34" s="12" t="s">
        <v>763</v>
      </c>
      <c r="G34" s="12" t="s">
        <v>739</v>
      </c>
      <c r="H34" s="13" t="s">
        <v>764</v>
      </c>
      <c r="I34" s="17"/>
    </row>
    <row r="35" ht="15.0" customHeight="1">
      <c r="A35" s="8" t="s">
        <v>765</v>
      </c>
      <c r="B35" s="7">
        <v>1.0</v>
      </c>
      <c r="C35" s="42">
        <v>0.22</v>
      </c>
      <c r="D35" s="42">
        <f t="shared" si="1"/>
        <v>0.22</v>
      </c>
      <c r="E35" s="8" t="s">
        <v>766</v>
      </c>
      <c r="F35" s="8" t="s">
        <v>767</v>
      </c>
      <c r="G35" s="8" t="s">
        <v>739</v>
      </c>
      <c r="H35" s="9" t="s">
        <v>768</v>
      </c>
      <c r="I35" s="17"/>
    </row>
    <row r="36" ht="15.0" customHeight="1">
      <c r="A36" s="12" t="s">
        <v>769</v>
      </c>
      <c r="B36" s="11">
        <v>1.0</v>
      </c>
      <c r="C36" s="39">
        <v>0.12</v>
      </c>
      <c r="D36" s="39">
        <f t="shared" si="1"/>
        <v>0.12</v>
      </c>
      <c r="E36" s="12" t="s">
        <v>770</v>
      </c>
      <c r="F36" s="12" t="s">
        <v>771</v>
      </c>
      <c r="G36" s="12" t="s">
        <v>739</v>
      </c>
      <c r="H36" s="13" t="s">
        <v>772</v>
      </c>
      <c r="I36" s="17"/>
    </row>
    <row r="37" ht="15.0" customHeight="1">
      <c r="A37" s="8" t="s">
        <v>773</v>
      </c>
      <c r="B37" s="7">
        <v>1.0</v>
      </c>
      <c r="C37" s="42">
        <v>0.05</v>
      </c>
      <c r="D37" s="42">
        <f t="shared" si="1"/>
        <v>0.05</v>
      </c>
      <c r="E37" s="8" t="s">
        <v>774</v>
      </c>
      <c r="F37" s="8" t="s">
        <v>775</v>
      </c>
      <c r="G37" s="8" t="s">
        <v>739</v>
      </c>
      <c r="H37" s="9" t="s">
        <v>776</v>
      </c>
      <c r="I37" s="17"/>
    </row>
    <row r="38" ht="18.75" customHeight="1">
      <c r="A38" s="12" t="s">
        <v>777</v>
      </c>
      <c r="B38" s="11">
        <v>1.0</v>
      </c>
      <c r="C38" s="39">
        <v>0.2</v>
      </c>
      <c r="D38" s="39">
        <f t="shared" si="1"/>
        <v>0.2</v>
      </c>
      <c r="E38" s="12" t="s">
        <v>778</v>
      </c>
      <c r="F38" s="12" t="s">
        <v>141</v>
      </c>
      <c r="G38" s="12" t="s">
        <v>396</v>
      </c>
      <c r="H38" s="13" t="s">
        <v>779</v>
      </c>
      <c r="I38" s="17"/>
    </row>
    <row r="39" ht="15.0" customHeight="1">
      <c r="A39" s="8" t="s">
        <v>780</v>
      </c>
      <c r="B39" s="7">
        <v>1.0</v>
      </c>
      <c r="C39" s="42">
        <v>0.08</v>
      </c>
      <c r="D39" s="42">
        <f t="shared" si="1"/>
        <v>0.08</v>
      </c>
      <c r="E39" s="8" t="s">
        <v>781</v>
      </c>
      <c r="F39" s="8" t="s">
        <v>782</v>
      </c>
      <c r="G39" s="8" t="s">
        <v>396</v>
      </c>
      <c r="H39" s="9" t="s">
        <v>783</v>
      </c>
      <c r="I39" s="17"/>
    </row>
    <row r="40" ht="15.0" customHeight="1">
      <c r="A40" s="12" t="s">
        <v>784</v>
      </c>
      <c r="B40" s="11">
        <v>60.0</v>
      </c>
      <c r="C40" s="39">
        <v>0.008</v>
      </c>
      <c r="D40" s="39">
        <f t="shared" si="1"/>
        <v>0.48</v>
      </c>
      <c r="E40" s="12" t="s">
        <v>785</v>
      </c>
      <c r="F40" s="12" t="s">
        <v>786</v>
      </c>
      <c r="G40" s="12" t="s">
        <v>787</v>
      </c>
      <c r="H40" s="13" t="s">
        <v>788</v>
      </c>
      <c r="I40" s="17"/>
    </row>
    <row r="41" ht="15.0" customHeight="1">
      <c r="A41" s="8" t="s">
        <v>789</v>
      </c>
      <c r="B41" s="7">
        <v>35.0</v>
      </c>
      <c r="C41" s="42">
        <v>0.004</v>
      </c>
      <c r="D41" s="42">
        <f t="shared" si="1"/>
        <v>0.14</v>
      </c>
      <c r="E41" s="8" t="s">
        <v>790</v>
      </c>
      <c r="F41" s="8" t="s">
        <v>791</v>
      </c>
      <c r="G41" s="8" t="s">
        <v>787</v>
      </c>
      <c r="H41" s="9" t="s">
        <v>792</v>
      </c>
      <c r="I41" s="17"/>
    </row>
    <row r="42" ht="15.0" customHeight="1">
      <c r="A42" s="12" t="s">
        <v>793</v>
      </c>
      <c r="B42" s="11">
        <v>15.0</v>
      </c>
      <c r="C42" s="39">
        <v>0.018</v>
      </c>
      <c r="D42" s="39">
        <f t="shared" si="1"/>
        <v>0.27</v>
      </c>
      <c r="E42" s="12" t="s">
        <v>794</v>
      </c>
      <c r="F42" s="12" t="s">
        <v>786</v>
      </c>
      <c r="G42" s="12" t="s">
        <v>787</v>
      </c>
      <c r="H42" s="13" t="s">
        <v>795</v>
      </c>
      <c r="I42" s="17"/>
    </row>
    <row r="43" ht="15.0" customHeight="1">
      <c r="A43" s="8" t="s">
        <v>796</v>
      </c>
      <c r="B43" s="7">
        <v>5.0</v>
      </c>
      <c r="C43" s="42">
        <v>0.02</v>
      </c>
      <c r="D43" s="42">
        <f t="shared" si="1"/>
        <v>0.1</v>
      </c>
      <c r="E43" s="8" t="s">
        <v>797</v>
      </c>
      <c r="F43" s="8" t="s">
        <v>798</v>
      </c>
      <c r="G43" s="8" t="s">
        <v>787</v>
      </c>
      <c r="H43" s="9" t="s">
        <v>799</v>
      </c>
      <c r="I43" s="17"/>
    </row>
    <row r="44" ht="15.0" customHeight="1">
      <c r="A44" s="12" t="s">
        <v>800</v>
      </c>
      <c r="B44" s="11">
        <v>1.0</v>
      </c>
      <c r="C44" s="39">
        <v>0.55</v>
      </c>
      <c r="D44" s="39">
        <f t="shared" si="1"/>
        <v>0.55</v>
      </c>
      <c r="E44" s="12" t="s">
        <v>801</v>
      </c>
      <c r="F44" s="12" t="s">
        <v>802</v>
      </c>
      <c r="G44" s="12" t="s">
        <v>416</v>
      </c>
      <c r="H44" s="13" t="s">
        <v>803</v>
      </c>
      <c r="I44" s="17"/>
    </row>
    <row r="45" ht="15.0" customHeight="1">
      <c r="A45" s="8" t="s">
        <v>804</v>
      </c>
      <c r="B45" s="7">
        <v>1.0</v>
      </c>
      <c r="C45" s="42">
        <v>0.22</v>
      </c>
      <c r="D45" s="42">
        <f t="shared" si="1"/>
        <v>0.22</v>
      </c>
      <c r="E45" s="8" t="s">
        <v>805</v>
      </c>
      <c r="F45" s="8" t="s">
        <v>806</v>
      </c>
      <c r="G45" s="8" t="s">
        <v>416</v>
      </c>
      <c r="H45" s="9" t="s">
        <v>807</v>
      </c>
      <c r="I45" s="17"/>
    </row>
    <row r="46" ht="18.75" customHeight="1">
      <c r="A46" s="12" t="s">
        <v>808</v>
      </c>
      <c r="B46" s="11">
        <v>1.0</v>
      </c>
      <c r="C46" s="39">
        <v>1.2</v>
      </c>
      <c r="D46" s="39">
        <f t="shared" si="1"/>
        <v>1.2</v>
      </c>
      <c r="E46" s="12" t="s">
        <v>809</v>
      </c>
      <c r="F46" s="12" t="s">
        <v>431</v>
      </c>
      <c r="G46" s="12" t="s">
        <v>416</v>
      </c>
      <c r="H46" s="13" t="s">
        <v>810</v>
      </c>
      <c r="I46" s="17"/>
    </row>
    <row r="47" ht="18.75" customHeight="1">
      <c r="A47" s="8" t="s">
        <v>811</v>
      </c>
      <c r="B47" s="7">
        <v>2.0</v>
      </c>
      <c r="C47" s="42">
        <v>0.14</v>
      </c>
      <c r="D47" s="42">
        <f t="shared" si="1"/>
        <v>0.28</v>
      </c>
      <c r="E47" s="8" t="s">
        <v>812</v>
      </c>
      <c r="F47" s="8" t="s">
        <v>813</v>
      </c>
      <c r="G47" s="8" t="s">
        <v>416</v>
      </c>
      <c r="H47" s="9" t="s">
        <v>814</v>
      </c>
      <c r="I47" s="17"/>
    </row>
    <row r="48" ht="18.75" customHeight="1">
      <c r="A48" s="12" t="s">
        <v>815</v>
      </c>
      <c r="B48" s="11">
        <v>1.0</v>
      </c>
      <c r="C48" s="39">
        <v>2.85</v>
      </c>
      <c r="D48" s="39">
        <f t="shared" si="1"/>
        <v>2.85</v>
      </c>
      <c r="E48" s="12" t="s">
        <v>816</v>
      </c>
      <c r="F48" s="12" t="s">
        <v>817</v>
      </c>
      <c r="G48" s="12" t="s">
        <v>406</v>
      </c>
      <c r="H48" s="13" t="s">
        <v>818</v>
      </c>
      <c r="I48" s="17"/>
    </row>
    <row r="49" ht="18.75" customHeight="1">
      <c r="A49" s="8" t="s">
        <v>819</v>
      </c>
      <c r="B49" s="7">
        <v>6.0</v>
      </c>
      <c r="C49" s="42">
        <v>0.015</v>
      </c>
      <c r="D49" s="42">
        <f t="shared" si="1"/>
        <v>0.09</v>
      </c>
      <c r="E49" s="8" t="s">
        <v>820</v>
      </c>
      <c r="F49" s="8" t="s">
        <v>821</v>
      </c>
      <c r="G49" s="8" t="s">
        <v>822</v>
      </c>
      <c r="H49" s="9" t="s">
        <v>823</v>
      </c>
      <c r="I49" s="17"/>
    </row>
    <row r="50" ht="18.75" customHeight="1">
      <c r="A50" s="12" t="s">
        <v>824</v>
      </c>
      <c r="B50" s="11">
        <v>1.0</v>
      </c>
      <c r="C50" s="39">
        <v>0.35</v>
      </c>
      <c r="D50" s="39">
        <f t="shared" si="1"/>
        <v>0.35</v>
      </c>
      <c r="E50" s="12" t="s">
        <v>825</v>
      </c>
      <c r="F50" s="12" t="s">
        <v>526</v>
      </c>
      <c r="G50" s="12" t="s">
        <v>826</v>
      </c>
      <c r="H50" s="13" t="s">
        <v>827</v>
      </c>
      <c r="I50" s="17"/>
    </row>
    <row r="51" ht="15.0" customHeight="1">
      <c r="A51" s="8" t="s">
        <v>828</v>
      </c>
      <c r="B51" s="7">
        <v>1.0</v>
      </c>
      <c r="C51" s="42">
        <v>2.2</v>
      </c>
      <c r="D51" s="42">
        <f t="shared" si="1"/>
        <v>2.2</v>
      </c>
      <c r="E51" s="8" t="s">
        <v>829</v>
      </c>
      <c r="F51" s="8" t="s">
        <v>830</v>
      </c>
      <c r="G51" s="8" t="s">
        <v>831</v>
      </c>
      <c r="H51" s="9" t="s">
        <v>832</v>
      </c>
      <c r="I51" s="17"/>
    </row>
    <row r="52" ht="15.0" customHeight="1">
      <c r="A52" s="12" t="s">
        <v>833</v>
      </c>
      <c r="B52" s="11">
        <v>1.0</v>
      </c>
      <c r="C52" s="39">
        <v>0.9</v>
      </c>
      <c r="D52" s="39">
        <f t="shared" si="1"/>
        <v>0.9</v>
      </c>
      <c r="E52" s="12" t="s">
        <v>834</v>
      </c>
      <c r="F52" s="12" t="s">
        <v>835</v>
      </c>
      <c r="G52" s="12" t="s">
        <v>831</v>
      </c>
      <c r="H52" s="13" t="s">
        <v>836</v>
      </c>
      <c r="I52" s="17"/>
    </row>
    <row r="53" ht="18.75" customHeight="1">
      <c r="A53" s="8" t="s">
        <v>837</v>
      </c>
      <c r="B53" s="7">
        <v>1.0</v>
      </c>
      <c r="C53" s="42">
        <v>55.0</v>
      </c>
      <c r="D53" s="42">
        <f t="shared" si="1"/>
        <v>55</v>
      </c>
      <c r="E53" s="8" t="s">
        <v>838</v>
      </c>
      <c r="F53" s="8" t="s">
        <v>839</v>
      </c>
      <c r="G53" s="8" t="s">
        <v>840</v>
      </c>
      <c r="H53" s="9" t="s">
        <v>841</v>
      </c>
      <c r="I53" s="17"/>
    </row>
    <row r="54" ht="15.0" customHeight="1">
      <c r="A54" s="12" t="s">
        <v>842</v>
      </c>
      <c r="B54" s="11">
        <v>1.0</v>
      </c>
      <c r="C54" s="39">
        <v>2.5</v>
      </c>
      <c r="D54" s="39">
        <f t="shared" si="1"/>
        <v>2.5</v>
      </c>
      <c r="E54" s="12" t="s">
        <v>843</v>
      </c>
      <c r="F54" s="12" t="s">
        <v>844</v>
      </c>
      <c r="G54" s="12" t="s">
        <v>840</v>
      </c>
      <c r="H54" s="13" t="s">
        <v>845</v>
      </c>
      <c r="I54" s="17"/>
    </row>
    <row r="55" ht="18.75" customHeight="1">
      <c r="A55" s="8" t="s">
        <v>846</v>
      </c>
      <c r="B55" s="7">
        <v>1.0</v>
      </c>
      <c r="C55" s="42">
        <f>B4*B5*B6/1000*1.05*0.22</f>
        <v>17.4636</v>
      </c>
      <c r="D55" s="42">
        <f t="shared" si="1"/>
        <v>17.4636</v>
      </c>
      <c r="E55" s="8" t="s">
        <v>847</v>
      </c>
      <c r="F55" s="8" t="s">
        <v>848</v>
      </c>
      <c r="G55" s="8" t="s">
        <v>849</v>
      </c>
      <c r="H55" s="9" t="s">
        <v>850</v>
      </c>
      <c r="I55" s="17"/>
    </row>
    <row r="56" ht="15.0" customHeight="1">
      <c r="A56" s="12" t="s">
        <v>851</v>
      </c>
      <c r="B56" s="11">
        <v>1.0</v>
      </c>
      <c r="C56" s="39">
        <f>B4*B5*B6/1000*1.05*0.18</f>
        <v>14.2884</v>
      </c>
      <c r="D56" s="39">
        <f t="shared" si="1"/>
        <v>14.2884</v>
      </c>
      <c r="E56" s="12" t="s">
        <v>847</v>
      </c>
      <c r="F56" s="12" t="s">
        <v>852</v>
      </c>
      <c r="G56" s="12" t="s">
        <v>849</v>
      </c>
      <c r="H56" s="13" t="s">
        <v>853</v>
      </c>
      <c r="I56" s="17"/>
    </row>
    <row r="57" ht="15.0" customHeight="1">
      <c r="A57" s="8" t="s">
        <v>854</v>
      </c>
      <c r="B57" s="7">
        <v>1.0</v>
      </c>
      <c r="C57" s="42">
        <v>1.8</v>
      </c>
      <c r="D57" s="42">
        <f t="shared" si="1"/>
        <v>1.8</v>
      </c>
      <c r="E57" s="8" t="s">
        <v>855</v>
      </c>
      <c r="F57" s="8" t="s">
        <v>856</v>
      </c>
      <c r="G57" s="8" t="s">
        <v>849</v>
      </c>
      <c r="H57" s="9" t="s">
        <v>857</v>
      </c>
      <c r="I57" s="17"/>
    </row>
    <row r="58" ht="15.0" customHeight="1">
      <c r="A58" s="12" t="s">
        <v>858</v>
      </c>
      <c r="B58" s="11">
        <v>4.0</v>
      </c>
      <c r="C58" s="39">
        <v>0.45</v>
      </c>
      <c r="D58" s="39">
        <f t="shared" si="1"/>
        <v>1.8</v>
      </c>
      <c r="E58" s="12" t="s">
        <v>859</v>
      </c>
      <c r="F58" s="12" t="s">
        <v>860</v>
      </c>
      <c r="G58" s="12" t="s">
        <v>849</v>
      </c>
      <c r="H58" s="13" t="s">
        <v>861</v>
      </c>
      <c r="I58" s="17"/>
    </row>
    <row r="59" ht="18.75" customHeight="1">
      <c r="A59" s="8" t="s">
        <v>862</v>
      </c>
      <c r="B59" s="7">
        <v>1.0</v>
      </c>
      <c r="C59" s="42">
        <v>0.2</v>
      </c>
      <c r="D59" s="42">
        <f t="shared" si="1"/>
        <v>0.2</v>
      </c>
      <c r="E59" s="8" t="s">
        <v>863</v>
      </c>
      <c r="F59" s="8" t="s">
        <v>864</v>
      </c>
      <c r="G59" s="8" t="s">
        <v>849</v>
      </c>
      <c r="H59" s="9" t="s">
        <v>865</v>
      </c>
      <c r="I59" s="17"/>
    </row>
    <row r="60" ht="16.5" customHeight="1">
      <c r="A60" s="82" t="s">
        <v>866</v>
      </c>
      <c r="B60" s="2"/>
      <c r="C60" s="2"/>
      <c r="D60" s="2"/>
      <c r="E60" s="2"/>
      <c r="F60" s="2"/>
      <c r="G60" s="2"/>
      <c r="H60" s="2"/>
      <c r="I60" s="3"/>
    </row>
    <row r="61" ht="15.75" customHeight="1">
      <c r="A61" s="88" t="s">
        <v>867</v>
      </c>
      <c r="B61" s="89">
        <f>SUM(D26:D59)</f>
        <v>124.36584</v>
      </c>
      <c r="C61" s="90" t="s">
        <v>868</v>
      </c>
      <c r="D61" s="54" t="s">
        <v>869</v>
      </c>
      <c r="E61" s="17"/>
      <c r="F61" s="17"/>
      <c r="G61" s="17"/>
      <c r="H61" s="17"/>
      <c r="I61" s="17"/>
    </row>
    <row r="62" ht="15.75" customHeight="1">
      <c r="A62" s="91" t="s">
        <v>870</v>
      </c>
      <c r="B62" s="92">
        <v>140.0</v>
      </c>
      <c r="C62" s="93" t="s">
        <v>868</v>
      </c>
      <c r="D62" s="94" t="s">
        <v>871</v>
      </c>
      <c r="E62" s="17"/>
      <c r="F62" s="17"/>
      <c r="G62" s="17"/>
      <c r="H62" s="17"/>
      <c r="I62" s="17"/>
    </row>
    <row r="63" ht="49.5" customHeight="1">
      <c r="A63" s="59" t="s">
        <v>872</v>
      </c>
      <c r="B63" s="95">
        <f>B62-B61</f>
        <v>15.63416</v>
      </c>
      <c r="C63" s="96" t="s">
        <v>868</v>
      </c>
      <c r="D63" s="97" t="s">
        <v>873</v>
      </c>
      <c r="E63" s="17"/>
      <c r="F63" s="17"/>
      <c r="G63" s="17"/>
      <c r="H63" s="17"/>
      <c r="I63" s="17"/>
    </row>
    <row r="64" ht="25.5" customHeight="1">
      <c r="A64" s="98" t="s">
        <v>874</v>
      </c>
      <c r="B64" s="99" t="str">
        <f>IF(B61&lt;=B62,"✅  PASS — Under 140g Target","❌  FAIL — Reduce Weight")</f>
        <v>✅  PASS — Under 140g Target</v>
      </c>
      <c r="C64" s="100"/>
      <c r="D64" s="100"/>
      <c r="E64" s="101"/>
      <c r="F64" s="17"/>
      <c r="G64" s="17"/>
      <c r="H64" s="17"/>
      <c r="I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</row>
    <row r="66" ht="16.5" customHeight="1">
      <c r="A66" s="82" t="s">
        <v>875</v>
      </c>
      <c r="B66" s="2"/>
      <c r="C66" s="2"/>
      <c r="D66" s="2"/>
      <c r="E66" s="2"/>
      <c r="F66" s="2"/>
      <c r="G66" s="2"/>
      <c r="H66" s="2"/>
      <c r="I66" s="3"/>
    </row>
    <row r="67" ht="21.75" customHeight="1">
      <c r="A67" s="87" t="s">
        <v>876</v>
      </c>
      <c r="B67" s="87" t="s">
        <v>877</v>
      </c>
      <c r="C67" s="87" t="s">
        <v>878</v>
      </c>
      <c r="D67" s="87" t="s">
        <v>729</v>
      </c>
      <c r="E67" s="87" t="s">
        <v>879</v>
      </c>
      <c r="F67" s="87" t="s">
        <v>626</v>
      </c>
      <c r="G67" s="17"/>
      <c r="H67" s="17"/>
      <c r="I67" s="17"/>
    </row>
    <row r="68" ht="54.75" customHeight="1">
      <c r="A68" s="12" t="s">
        <v>880</v>
      </c>
      <c r="B68" s="12" t="s">
        <v>881</v>
      </c>
      <c r="C68" s="11">
        <v>35.0</v>
      </c>
      <c r="D68" s="12" t="s">
        <v>882</v>
      </c>
      <c r="E68" s="13" t="s">
        <v>883</v>
      </c>
      <c r="F68" s="13" t="s">
        <v>884</v>
      </c>
      <c r="G68" s="17"/>
      <c r="H68" s="17"/>
      <c r="I68" s="17"/>
    </row>
    <row r="69" ht="36.75" customHeight="1">
      <c r="A69" s="8" t="s">
        <v>885</v>
      </c>
      <c r="B69" s="8" t="s">
        <v>886</v>
      </c>
      <c r="C69" s="7" t="s">
        <v>887</v>
      </c>
      <c r="D69" s="8" t="s">
        <v>888</v>
      </c>
      <c r="E69" s="9" t="s">
        <v>889</v>
      </c>
      <c r="F69" s="9" t="s">
        <v>890</v>
      </c>
      <c r="G69" s="17"/>
      <c r="H69" s="17"/>
      <c r="I69" s="17"/>
    </row>
    <row r="70" ht="36.75" customHeight="1">
      <c r="A70" s="12" t="s">
        <v>168</v>
      </c>
      <c r="B70" s="12" t="s">
        <v>891</v>
      </c>
      <c r="C70" s="11">
        <v>35.0</v>
      </c>
      <c r="D70" s="12" t="s">
        <v>882</v>
      </c>
      <c r="E70" s="13" t="s">
        <v>892</v>
      </c>
      <c r="F70" s="13" t="s">
        <v>893</v>
      </c>
      <c r="G70" s="17"/>
      <c r="H70" s="17"/>
      <c r="I70" s="17"/>
    </row>
    <row r="71" ht="27.75" customHeight="1">
      <c r="A71" s="8" t="s">
        <v>894</v>
      </c>
      <c r="B71" s="8" t="s">
        <v>895</v>
      </c>
      <c r="C71" s="7">
        <v>710.0</v>
      </c>
      <c r="D71" s="8" t="s">
        <v>896</v>
      </c>
      <c r="E71" s="9" t="s">
        <v>897</v>
      </c>
      <c r="F71" s="9" t="s">
        <v>898</v>
      </c>
      <c r="G71" s="17"/>
      <c r="H71" s="17"/>
      <c r="I71" s="17"/>
    </row>
    <row r="72" ht="27.75" customHeight="1">
      <c r="A72" s="12" t="s">
        <v>173</v>
      </c>
      <c r="B72" s="12" t="s">
        <v>899</v>
      </c>
      <c r="C72" s="11">
        <v>35.0</v>
      </c>
      <c r="D72" s="12" t="s">
        <v>882</v>
      </c>
      <c r="E72" s="13" t="s">
        <v>900</v>
      </c>
      <c r="F72" s="13" t="s">
        <v>901</v>
      </c>
      <c r="G72" s="17"/>
      <c r="H72" s="17"/>
      <c r="I72" s="17"/>
    </row>
    <row r="73" ht="18.75" customHeight="1">
      <c r="A73" s="8" t="s">
        <v>902</v>
      </c>
      <c r="B73" s="8" t="s">
        <v>886</v>
      </c>
      <c r="C73" s="7">
        <v>360.0</v>
      </c>
      <c r="D73" s="8" t="s">
        <v>888</v>
      </c>
      <c r="E73" s="9" t="s">
        <v>903</v>
      </c>
      <c r="F73" s="9" t="s">
        <v>904</v>
      </c>
      <c r="G73" s="17"/>
      <c r="H73" s="17"/>
      <c r="I73" s="17"/>
    </row>
    <row r="74" ht="27.75" customHeight="1">
      <c r="A74" s="12" t="s">
        <v>905</v>
      </c>
      <c r="B74" s="12" t="s">
        <v>906</v>
      </c>
      <c r="C74" s="11">
        <v>35.0</v>
      </c>
      <c r="D74" s="12" t="s">
        <v>882</v>
      </c>
      <c r="E74" s="13" t="s">
        <v>907</v>
      </c>
      <c r="F74" s="13" t="s">
        <v>908</v>
      </c>
      <c r="G74" s="17"/>
      <c r="H74" s="17"/>
      <c r="I74" s="17"/>
    </row>
    <row r="75" ht="27.75" customHeight="1">
      <c r="A75" s="8" t="s">
        <v>909</v>
      </c>
      <c r="B75" s="8" t="s">
        <v>910</v>
      </c>
      <c r="C75" s="7">
        <v>20.0</v>
      </c>
      <c r="D75" s="8" t="s">
        <v>911</v>
      </c>
      <c r="E75" s="9" t="s">
        <v>912</v>
      </c>
      <c r="F75" s="9" t="s">
        <v>913</v>
      </c>
      <c r="G75" s="17"/>
      <c r="H75" s="17"/>
      <c r="I75" s="17"/>
    </row>
    <row r="76" ht="18.75" customHeight="1">
      <c r="A76" s="12" t="s">
        <v>914</v>
      </c>
      <c r="B76" s="12" t="s">
        <v>910</v>
      </c>
      <c r="C76" s="11">
        <v>20.0</v>
      </c>
      <c r="D76" s="12" t="s">
        <v>911</v>
      </c>
      <c r="E76" s="13" t="s">
        <v>915</v>
      </c>
      <c r="F76" s="13" t="s">
        <v>916</v>
      </c>
      <c r="G76" s="17"/>
      <c r="H76" s="17"/>
      <c r="I76" s="17"/>
    </row>
    <row r="77" ht="27.75" customHeight="1">
      <c r="A77" s="8" t="s">
        <v>917</v>
      </c>
      <c r="B77" s="8" t="s">
        <v>918</v>
      </c>
      <c r="C77" s="7">
        <v>5.0</v>
      </c>
      <c r="D77" s="8" t="s">
        <v>919</v>
      </c>
      <c r="E77" s="9" t="s">
        <v>920</v>
      </c>
      <c r="F77" s="9" t="s">
        <v>921</v>
      </c>
      <c r="G77" s="17"/>
      <c r="H77" s="17"/>
      <c r="I77" s="17"/>
    </row>
    <row r="78" ht="27.75" customHeight="1">
      <c r="A78" s="102" t="s">
        <v>922</v>
      </c>
      <c r="B78" s="102"/>
      <c r="C78" s="103" t="s">
        <v>923</v>
      </c>
      <c r="D78" s="102" t="s">
        <v>924</v>
      </c>
      <c r="E78" s="104" t="s">
        <v>925</v>
      </c>
      <c r="F78" s="104" t="s">
        <v>926</v>
      </c>
      <c r="G78" s="17"/>
      <c r="H78" s="17"/>
      <c r="I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  <c r="I262" s="17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  <c r="I263" s="17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  <c r="I264" s="17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  <c r="I265" s="17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  <c r="I266" s="17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  <c r="I267" s="17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  <c r="I268" s="17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  <c r="I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  <c r="I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  <c r="I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  <c r="I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  <c r="I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  <c r="I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  <c r="I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  <c r="I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  <c r="I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  <c r="I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  <c r="I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  <c r="I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  <c r="I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  <c r="I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  <c r="I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  <c r="I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  <c r="I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  <c r="I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  <c r="I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  <c r="I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  <c r="I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  <c r="I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  <c r="I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  <c r="I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  <c r="I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  <c r="I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  <c r="I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  <c r="I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  <c r="I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  <c r="I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I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  <c r="I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I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  <c r="I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I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I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I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I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  <c r="I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  <c r="I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  <c r="I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  <c r="I996" s="17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  <c r="I997" s="17"/>
    </row>
    <row r="998" ht="15.75" customHeight="1">
      <c r="A998" s="17"/>
      <c r="B998" s="17"/>
      <c r="C998" s="17"/>
      <c r="D998" s="17"/>
      <c r="E998" s="17"/>
      <c r="F998" s="17"/>
      <c r="G998" s="17"/>
      <c r="H998" s="17"/>
      <c r="I998" s="17"/>
    </row>
    <row r="999" ht="15.75" customHeight="1">
      <c r="A999" s="17"/>
      <c r="B999" s="17"/>
      <c r="C999" s="17"/>
      <c r="D999" s="17"/>
      <c r="E999" s="17"/>
      <c r="F999" s="17"/>
      <c r="G999" s="17"/>
      <c r="H999" s="17"/>
      <c r="I999" s="17"/>
    </row>
    <row r="1000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</row>
  </sheetData>
  <mergeCells count="7">
    <mergeCell ref="A1:I1"/>
    <mergeCell ref="A2:I2"/>
    <mergeCell ref="A3:I3"/>
    <mergeCell ref="A24:I24"/>
    <mergeCell ref="A60:I60"/>
    <mergeCell ref="B64:E64"/>
    <mergeCell ref="A66:I66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235A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2.0"/>
    <col customWidth="1" min="2" max="2" width="18.0"/>
    <col customWidth="1" min="3" max="3" width="22.0"/>
    <col customWidth="1" min="4" max="4" width="16.0"/>
    <col customWidth="1" min="5" max="5" width="20.0"/>
    <col customWidth="1" min="6" max="6" width="14.0"/>
    <col customWidth="1" min="7" max="7" width="22.0"/>
    <col customWidth="1" min="8" max="8" width="28.0"/>
    <col customWidth="1" min="9" max="9" width="14.0"/>
    <col customWidth="1" min="10" max="10" width="18.0"/>
    <col customWidth="1" min="11" max="26" width="8.71"/>
  </cols>
  <sheetData>
    <row r="1" ht="27.75" customHeight="1">
      <c r="A1" s="105" t="s">
        <v>927</v>
      </c>
      <c r="B1" s="2"/>
      <c r="C1" s="2"/>
      <c r="D1" s="2"/>
      <c r="E1" s="2"/>
      <c r="F1" s="2"/>
      <c r="G1" s="2"/>
      <c r="H1" s="2"/>
      <c r="I1" s="2"/>
      <c r="J1" s="3"/>
    </row>
    <row r="2" ht="13.5" customHeight="1">
      <c r="A2" s="106" t="s">
        <v>928</v>
      </c>
      <c r="B2" s="2"/>
      <c r="C2" s="2"/>
      <c r="D2" s="2"/>
      <c r="E2" s="2"/>
      <c r="F2" s="2"/>
      <c r="G2" s="2"/>
      <c r="H2" s="2"/>
      <c r="I2" s="2"/>
      <c r="J2" s="3"/>
    </row>
    <row r="3" ht="30.0" customHeight="1">
      <c r="A3" s="107" t="s">
        <v>929</v>
      </c>
      <c r="B3" s="2"/>
      <c r="C3" s="2"/>
      <c r="D3" s="2"/>
      <c r="E3" s="2"/>
      <c r="F3" s="2"/>
      <c r="G3" s="2"/>
      <c r="H3" s="2"/>
      <c r="I3" s="2"/>
      <c r="J3" s="3"/>
    </row>
    <row r="4" ht="25.5" customHeight="1">
      <c r="A4" s="108" t="s">
        <v>2</v>
      </c>
      <c r="B4" s="108" t="s">
        <v>822</v>
      </c>
      <c r="C4" s="108" t="s">
        <v>930</v>
      </c>
      <c r="D4" s="108" t="s">
        <v>931</v>
      </c>
      <c r="E4" s="108" t="s">
        <v>932</v>
      </c>
      <c r="F4" s="108" t="s">
        <v>933</v>
      </c>
      <c r="G4" s="108" t="s">
        <v>934</v>
      </c>
      <c r="H4" s="108" t="s">
        <v>935</v>
      </c>
      <c r="I4" s="108" t="s">
        <v>936</v>
      </c>
      <c r="J4" s="108" t="s">
        <v>937</v>
      </c>
    </row>
    <row r="5" ht="27.75" customHeight="1">
      <c r="A5" s="109">
        <v>1.0</v>
      </c>
      <c r="B5" s="110" t="s">
        <v>938</v>
      </c>
      <c r="C5" s="111" t="s">
        <v>939</v>
      </c>
      <c r="D5" s="109" t="s">
        <v>940</v>
      </c>
      <c r="E5" s="109" t="s">
        <v>941</v>
      </c>
      <c r="F5" s="109" t="s">
        <v>940</v>
      </c>
      <c r="G5" s="111" t="s">
        <v>942</v>
      </c>
      <c r="H5" s="111" t="s">
        <v>943</v>
      </c>
      <c r="I5" s="112" t="s">
        <v>944</v>
      </c>
      <c r="J5" s="111" t="s">
        <v>945</v>
      </c>
    </row>
    <row r="6" ht="27.75" customHeight="1">
      <c r="A6" s="113">
        <v>2.0</v>
      </c>
      <c r="B6" s="114" t="s">
        <v>938</v>
      </c>
      <c r="C6" s="115" t="s">
        <v>946</v>
      </c>
      <c r="D6" s="113" t="s">
        <v>940</v>
      </c>
      <c r="E6" s="113" t="s">
        <v>940</v>
      </c>
      <c r="F6" s="113" t="s">
        <v>941</v>
      </c>
      <c r="G6" s="115" t="s">
        <v>947</v>
      </c>
      <c r="H6" s="115" t="s">
        <v>948</v>
      </c>
      <c r="I6" s="116" t="s">
        <v>949</v>
      </c>
      <c r="J6" s="115" t="s">
        <v>950</v>
      </c>
    </row>
    <row r="7" ht="27.75" customHeight="1">
      <c r="A7" s="109">
        <v>3.0</v>
      </c>
      <c r="B7" s="110" t="s">
        <v>938</v>
      </c>
      <c r="C7" s="111" t="s">
        <v>951</v>
      </c>
      <c r="D7" s="109" t="s">
        <v>941</v>
      </c>
      <c r="E7" s="109" t="s">
        <v>941</v>
      </c>
      <c r="F7" s="109" t="s">
        <v>940</v>
      </c>
      <c r="G7" s="111" t="s">
        <v>952</v>
      </c>
      <c r="H7" s="111" t="s">
        <v>953</v>
      </c>
      <c r="I7" s="112" t="s">
        <v>954</v>
      </c>
      <c r="J7" s="111" t="s">
        <v>955</v>
      </c>
    </row>
    <row r="8" ht="27.75" customHeight="1">
      <c r="A8" s="113">
        <v>4.0</v>
      </c>
      <c r="B8" s="114" t="s">
        <v>938</v>
      </c>
      <c r="C8" s="115" t="s">
        <v>956</v>
      </c>
      <c r="D8" s="113" t="s">
        <v>941</v>
      </c>
      <c r="E8" s="113" t="s">
        <v>940</v>
      </c>
      <c r="F8" s="113" t="s">
        <v>940</v>
      </c>
      <c r="G8" s="115" t="s">
        <v>957</v>
      </c>
      <c r="H8" s="115" t="s">
        <v>958</v>
      </c>
      <c r="I8" s="116" t="s">
        <v>949</v>
      </c>
      <c r="J8" s="115" t="s">
        <v>959</v>
      </c>
    </row>
    <row r="9" ht="27.75" customHeight="1">
      <c r="A9" s="109">
        <v>5.0</v>
      </c>
      <c r="B9" s="110" t="s">
        <v>938</v>
      </c>
      <c r="C9" s="111" t="s">
        <v>960</v>
      </c>
      <c r="D9" s="109" t="s">
        <v>941</v>
      </c>
      <c r="E9" s="109" t="s">
        <v>940</v>
      </c>
      <c r="F9" s="109" t="s">
        <v>940</v>
      </c>
      <c r="G9" s="111" t="s">
        <v>961</v>
      </c>
      <c r="H9" s="111" t="s">
        <v>962</v>
      </c>
      <c r="I9" s="112" t="s">
        <v>963</v>
      </c>
      <c r="J9" s="111" t="s">
        <v>964</v>
      </c>
    </row>
    <row r="10" ht="27.75" customHeight="1">
      <c r="A10" s="113">
        <v>6.0</v>
      </c>
      <c r="B10" s="114" t="s">
        <v>938</v>
      </c>
      <c r="C10" s="115" t="s">
        <v>965</v>
      </c>
      <c r="D10" s="113" t="s">
        <v>940</v>
      </c>
      <c r="E10" s="113" t="s">
        <v>941</v>
      </c>
      <c r="F10" s="113" t="s">
        <v>941</v>
      </c>
      <c r="G10" s="115" t="s">
        <v>966</v>
      </c>
      <c r="H10" s="115" t="s">
        <v>967</v>
      </c>
      <c r="I10" s="116" t="s">
        <v>968</v>
      </c>
      <c r="J10" s="115" t="s">
        <v>969</v>
      </c>
    </row>
    <row r="11" ht="27.75" customHeight="1">
      <c r="A11" s="109">
        <v>7.0</v>
      </c>
      <c r="B11" s="110" t="s">
        <v>938</v>
      </c>
      <c r="C11" s="111" t="s">
        <v>970</v>
      </c>
      <c r="D11" s="109" t="s">
        <v>940</v>
      </c>
      <c r="E11" s="109" t="s">
        <v>971</v>
      </c>
      <c r="F11" s="109" t="s">
        <v>940</v>
      </c>
      <c r="G11" s="111" t="s">
        <v>972</v>
      </c>
      <c r="H11" s="111" t="s">
        <v>973</v>
      </c>
      <c r="I11" s="112" t="s">
        <v>974</v>
      </c>
      <c r="J11" s="111" t="s">
        <v>970</v>
      </c>
    </row>
    <row r="12" ht="27.75" customHeight="1">
      <c r="A12" s="117">
        <v>8.0</v>
      </c>
      <c r="B12" s="118" t="s">
        <v>975</v>
      </c>
      <c r="C12" s="119" t="s">
        <v>976</v>
      </c>
      <c r="D12" s="117" t="s">
        <v>28</v>
      </c>
      <c r="E12" s="117" t="s">
        <v>941</v>
      </c>
      <c r="F12" s="117" t="s">
        <v>28</v>
      </c>
      <c r="G12" s="119" t="s">
        <v>942</v>
      </c>
      <c r="H12" s="119" t="s">
        <v>977</v>
      </c>
      <c r="I12" s="120" t="s">
        <v>949</v>
      </c>
      <c r="J12" s="119" t="s">
        <v>978</v>
      </c>
    </row>
    <row r="13" ht="27.75" customHeight="1">
      <c r="A13" s="121">
        <v>9.0</v>
      </c>
      <c r="B13" s="122" t="s">
        <v>975</v>
      </c>
      <c r="C13" s="123" t="s">
        <v>979</v>
      </c>
      <c r="D13" s="121" t="s">
        <v>28</v>
      </c>
      <c r="E13" s="121" t="s">
        <v>941</v>
      </c>
      <c r="F13" s="121" t="s">
        <v>28</v>
      </c>
      <c r="G13" s="123" t="s">
        <v>980</v>
      </c>
      <c r="H13" s="123" t="s">
        <v>981</v>
      </c>
      <c r="I13" s="124" t="s">
        <v>982</v>
      </c>
      <c r="J13" s="123" t="s">
        <v>983</v>
      </c>
    </row>
    <row r="14" ht="27.75" customHeight="1">
      <c r="A14" s="117">
        <v>10.0</v>
      </c>
      <c r="B14" s="118" t="s">
        <v>975</v>
      </c>
      <c r="C14" s="119" t="s">
        <v>984</v>
      </c>
      <c r="D14" s="117" t="s">
        <v>28</v>
      </c>
      <c r="E14" s="117" t="s">
        <v>940</v>
      </c>
      <c r="F14" s="117" t="s">
        <v>28</v>
      </c>
      <c r="G14" s="119" t="s">
        <v>940</v>
      </c>
      <c r="H14" s="119" t="s">
        <v>985</v>
      </c>
      <c r="I14" s="120" t="s">
        <v>986</v>
      </c>
      <c r="J14" s="119" t="s">
        <v>987</v>
      </c>
    </row>
    <row r="15" ht="27.75" customHeight="1">
      <c r="A15" s="121">
        <v>11.0</v>
      </c>
      <c r="B15" s="122" t="s">
        <v>975</v>
      </c>
      <c r="C15" s="123" t="s">
        <v>988</v>
      </c>
      <c r="D15" s="121" t="s">
        <v>28</v>
      </c>
      <c r="E15" s="121" t="s">
        <v>989</v>
      </c>
      <c r="F15" s="121" t="s">
        <v>28</v>
      </c>
      <c r="G15" s="123" t="s">
        <v>990</v>
      </c>
      <c r="H15" s="123" t="s">
        <v>991</v>
      </c>
      <c r="I15" s="124" t="s">
        <v>992</v>
      </c>
      <c r="J15" s="123" t="s">
        <v>993</v>
      </c>
    </row>
    <row r="16" ht="27.75" customHeight="1">
      <c r="A16" s="125">
        <v>12.0</v>
      </c>
      <c r="B16" s="126" t="s">
        <v>994</v>
      </c>
      <c r="C16" s="127" t="s">
        <v>995</v>
      </c>
      <c r="D16" s="125" t="s">
        <v>996</v>
      </c>
      <c r="E16" s="125" t="s">
        <v>940</v>
      </c>
      <c r="F16" s="125" t="s">
        <v>28</v>
      </c>
      <c r="G16" s="127" t="s">
        <v>997</v>
      </c>
      <c r="H16" s="127" t="s">
        <v>998</v>
      </c>
      <c r="I16" s="128" t="s">
        <v>999</v>
      </c>
      <c r="J16" s="127" t="s">
        <v>1000</v>
      </c>
    </row>
    <row r="17" ht="27.75" customHeight="1">
      <c r="A17" s="129">
        <v>13.0</v>
      </c>
      <c r="B17" s="130" t="s">
        <v>994</v>
      </c>
      <c r="C17" s="131" t="s">
        <v>1001</v>
      </c>
      <c r="D17" s="129" t="s">
        <v>940</v>
      </c>
      <c r="E17" s="129" t="s">
        <v>996</v>
      </c>
      <c r="F17" s="129" t="s">
        <v>28</v>
      </c>
      <c r="G17" s="131" t="s">
        <v>1002</v>
      </c>
      <c r="H17" s="131" t="s">
        <v>1003</v>
      </c>
      <c r="I17" s="132" t="s">
        <v>999</v>
      </c>
      <c r="J17" s="131" t="s">
        <v>1004</v>
      </c>
    </row>
    <row r="18" ht="27.75" customHeight="1">
      <c r="A18" s="125">
        <v>14.0</v>
      </c>
      <c r="B18" s="126" t="s">
        <v>994</v>
      </c>
      <c r="C18" s="127" t="s">
        <v>1005</v>
      </c>
      <c r="D18" s="125" t="s">
        <v>1006</v>
      </c>
      <c r="E18" s="125" t="s">
        <v>1006</v>
      </c>
      <c r="F18" s="125" t="s">
        <v>28</v>
      </c>
      <c r="G18" s="127" t="s">
        <v>1007</v>
      </c>
      <c r="H18" s="127" t="s">
        <v>1008</v>
      </c>
      <c r="I18" s="128" t="s">
        <v>1009</v>
      </c>
      <c r="J18" s="127" t="s">
        <v>1010</v>
      </c>
    </row>
    <row r="19" ht="27.75" customHeight="1">
      <c r="A19" s="129">
        <v>15.0</v>
      </c>
      <c r="B19" s="130" t="s">
        <v>994</v>
      </c>
      <c r="C19" s="131" t="s">
        <v>1011</v>
      </c>
      <c r="D19" s="129" t="s">
        <v>989</v>
      </c>
      <c r="E19" s="129" t="s">
        <v>989</v>
      </c>
      <c r="F19" s="129" t="s">
        <v>28</v>
      </c>
      <c r="G19" s="131" t="s">
        <v>1012</v>
      </c>
      <c r="H19" s="131" t="s">
        <v>1013</v>
      </c>
      <c r="I19" s="132" t="s">
        <v>1014</v>
      </c>
      <c r="J19" s="131" t="s">
        <v>1015</v>
      </c>
    </row>
    <row r="20" ht="27.75" customHeight="1">
      <c r="A20" s="125">
        <v>16.0</v>
      </c>
      <c r="B20" s="126" t="s">
        <v>994</v>
      </c>
      <c r="C20" s="127" t="s">
        <v>1016</v>
      </c>
      <c r="D20" s="125" t="s">
        <v>941</v>
      </c>
      <c r="E20" s="125" t="s">
        <v>940</v>
      </c>
      <c r="F20" s="125" t="s">
        <v>28</v>
      </c>
      <c r="G20" s="127" t="s">
        <v>1017</v>
      </c>
      <c r="H20" s="127" t="s">
        <v>1018</v>
      </c>
      <c r="I20" s="128" t="s">
        <v>1019</v>
      </c>
      <c r="J20" s="127" t="s">
        <v>1020</v>
      </c>
    </row>
    <row r="21" ht="27.75" customHeight="1">
      <c r="A21" s="129">
        <v>17.0</v>
      </c>
      <c r="B21" s="130" t="s">
        <v>994</v>
      </c>
      <c r="C21" s="131" t="s">
        <v>1021</v>
      </c>
      <c r="D21" s="129" t="s">
        <v>989</v>
      </c>
      <c r="E21" s="129" t="s">
        <v>989</v>
      </c>
      <c r="F21" s="129" t="s">
        <v>28</v>
      </c>
      <c r="G21" s="131" t="s">
        <v>1022</v>
      </c>
      <c r="H21" s="131" t="s">
        <v>1023</v>
      </c>
      <c r="I21" s="132" t="s">
        <v>1024</v>
      </c>
      <c r="J21" s="131" t="s">
        <v>1025</v>
      </c>
    </row>
    <row r="22" ht="27.75" customHeight="1">
      <c r="A22" s="133">
        <v>18.0</v>
      </c>
      <c r="B22" s="134" t="s">
        <v>1026</v>
      </c>
      <c r="C22" s="135" t="s">
        <v>1027</v>
      </c>
      <c r="D22" s="133" t="s">
        <v>940</v>
      </c>
      <c r="E22" s="133" t="s">
        <v>941</v>
      </c>
      <c r="F22" s="133" t="s">
        <v>940</v>
      </c>
      <c r="G22" s="135" t="s">
        <v>942</v>
      </c>
      <c r="H22" s="135" t="s">
        <v>1028</v>
      </c>
      <c r="I22" s="136" t="s">
        <v>949</v>
      </c>
      <c r="J22" s="135" t="s">
        <v>1029</v>
      </c>
    </row>
    <row r="23" ht="27.75" customHeight="1">
      <c r="A23" s="137">
        <v>19.0</v>
      </c>
      <c r="B23" s="138" t="s">
        <v>1026</v>
      </c>
      <c r="C23" s="139" t="s">
        <v>1030</v>
      </c>
      <c r="D23" s="137" t="s">
        <v>940</v>
      </c>
      <c r="E23" s="137" t="s">
        <v>940</v>
      </c>
      <c r="F23" s="137" t="s">
        <v>941</v>
      </c>
      <c r="G23" s="139" t="s">
        <v>947</v>
      </c>
      <c r="H23" s="139" t="s">
        <v>1031</v>
      </c>
      <c r="I23" s="140" t="s">
        <v>949</v>
      </c>
      <c r="J23" s="139" t="s">
        <v>1032</v>
      </c>
    </row>
    <row r="24" ht="27.75" customHeight="1">
      <c r="A24" s="133">
        <v>20.0</v>
      </c>
      <c r="B24" s="134" t="s">
        <v>1026</v>
      </c>
      <c r="C24" s="135" t="s">
        <v>1033</v>
      </c>
      <c r="D24" s="133" t="s">
        <v>941</v>
      </c>
      <c r="E24" s="133" t="s">
        <v>941</v>
      </c>
      <c r="F24" s="133" t="s">
        <v>940</v>
      </c>
      <c r="G24" s="135" t="s">
        <v>952</v>
      </c>
      <c r="H24" s="135" t="s">
        <v>1031</v>
      </c>
      <c r="I24" s="136" t="s">
        <v>954</v>
      </c>
      <c r="J24" s="135" t="s">
        <v>1034</v>
      </c>
    </row>
    <row r="25" ht="27.75" customHeight="1">
      <c r="A25" s="137">
        <v>21.0</v>
      </c>
      <c r="B25" s="138" t="s">
        <v>1026</v>
      </c>
      <c r="C25" s="139" t="s">
        <v>1035</v>
      </c>
      <c r="D25" s="137" t="s">
        <v>941</v>
      </c>
      <c r="E25" s="137" t="s">
        <v>940</v>
      </c>
      <c r="F25" s="137" t="s">
        <v>940</v>
      </c>
      <c r="G25" s="139" t="s">
        <v>957</v>
      </c>
      <c r="H25" s="139" t="s">
        <v>1036</v>
      </c>
      <c r="I25" s="140" t="s">
        <v>949</v>
      </c>
      <c r="J25" s="139" t="s">
        <v>1037</v>
      </c>
    </row>
    <row r="26" ht="27.75" customHeight="1">
      <c r="A26" s="133">
        <v>22.0</v>
      </c>
      <c r="B26" s="134" t="s">
        <v>1026</v>
      </c>
      <c r="C26" s="135" t="s">
        <v>1038</v>
      </c>
      <c r="D26" s="133" t="s">
        <v>941</v>
      </c>
      <c r="E26" s="133" t="s">
        <v>940</v>
      </c>
      <c r="F26" s="133" t="s">
        <v>940</v>
      </c>
      <c r="G26" s="135" t="s">
        <v>1039</v>
      </c>
      <c r="H26" s="135" t="s">
        <v>1040</v>
      </c>
      <c r="I26" s="136" t="s">
        <v>1041</v>
      </c>
      <c r="J26" s="135" t="s">
        <v>1042</v>
      </c>
    </row>
    <row r="27" ht="27.75" customHeight="1">
      <c r="A27" s="137">
        <v>23.0</v>
      </c>
      <c r="B27" s="138" t="s">
        <v>1026</v>
      </c>
      <c r="C27" s="139" t="s">
        <v>1043</v>
      </c>
      <c r="D27" s="137" t="s">
        <v>940</v>
      </c>
      <c r="E27" s="137" t="s">
        <v>940</v>
      </c>
      <c r="F27" s="137" t="s">
        <v>940</v>
      </c>
      <c r="G27" s="139" t="s">
        <v>940</v>
      </c>
      <c r="H27" s="139" t="s">
        <v>1044</v>
      </c>
      <c r="I27" s="140" t="s">
        <v>986</v>
      </c>
      <c r="J27" s="139" t="s">
        <v>1045</v>
      </c>
    </row>
    <row r="28" ht="27.75" customHeight="1">
      <c r="A28" s="141">
        <v>24.0</v>
      </c>
      <c r="B28" s="142" t="s">
        <v>1046</v>
      </c>
      <c r="C28" s="143" t="s">
        <v>1047</v>
      </c>
      <c r="D28" s="141" t="s">
        <v>989</v>
      </c>
      <c r="E28" s="141" t="s">
        <v>989</v>
      </c>
      <c r="F28" s="141" t="s">
        <v>940</v>
      </c>
      <c r="G28" s="143" t="s">
        <v>1048</v>
      </c>
      <c r="H28" s="143" t="s">
        <v>1049</v>
      </c>
      <c r="I28" s="144" t="s">
        <v>1050</v>
      </c>
      <c r="J28" s="143" t="s">
        <v>1051</v>
      </c>
    </row>
    <row r="29" ht="27.75" customHeight="1">
      <c r="A29" s="145">
        <v>25.0</v>
      </c>
      <c r="B29" s="146" t="s">
        <v>1046</v>
      </c>
      <c r="C29" s="147" t="s">
        <v>1052</v>
      </c>
      <c r="D29" s="145" t="s">
        <v>940</v>
      </c>
      <c r="E29" s="145" t="s">
        <v>989</v>
      </c>
      <c r="F29" s="145" t="s">
        <v>940</v>
      </c>
      <c r="G29" s="147" t="s">
        <v>1053</v>
      </c>
      <c r="H29" s="147" t="s">
        <v>1054</v>
      </c>
      <c r="I29" s="148" t="s">
        <v>1055</v>
      </c>
      <c r="J29" s="147" t="s">
        <v>1056</v>
      </c>
    </row>
    <row r="30" ht="27.75" customHeight="1">
      <c r="A30" s="141">
        <v>26.0</v>
      </c>
      <c r="B30" s="142" t="s">
        <v>1046</v>
      </c>
      <c r="C30" s="143" t="s">
        <v>1057</v>
      </c>
      <c r="D30" s="141" t="s">
        <v>989</v>
      </c>
      <c r="E30" s="141" t="s">
        <v>989</v>
      </c>
      <c r="F30" s="141" t="s">
        <v>989</v>
      </c>
      <c r="G30" s="143" t="s">
        <v>1058</v>
      </c>
      <c r="H30" s="143" t="s">
        <v>1059</v>
      </c>
      <c r="I30" s="144" t="s">
        <v>1060</v>
      </c>
      <c r="J30" s="143" t="s">
        <v>1061</v>
      </c>
    </row>
    <row r="31" ht="27.75" customHeight="1">
      <c r="A31" s="145">
        <v>27.0</v>
      </c>
      <c r="B31" s="146" t="s">
        <v>1046</v>
      </c>
      <c r="C31" s="147" t="s">
        <v>1062</v>
      </c>
      <c r="D31" s="145" t="s">
        <v>989</v>
      </c>
      <c r="E31" s="145" t="s">
        <v>989</v>
      </c>
      <c r="F31" s="145" t="s">
        <v>989</v>
      </c>
      <c r="G31" s="147" t="s">
        <v>1063</v>
      </c>
      <c r="H31" s="147" t="s">
        <v>1064</v>
      </c>
      <c r="I31" s="148" t="s">
        <v>1060</v>
      </c>
      <c r="J31" s="147" t="s">
        <v>1065</v>
      </c>
    </row>
    <row r="32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</row>
    <row r="33" ht="16.5" customHeight="1">
      <c r="A33" s="149" t="s">
        <v>1066</v>
      </c>
      <c r="B33" s="2"/>
      <c r="C33" s="2"/>
      <c r="D33" s="2"/>
      <c r="E33" s="2"/>
      <c r="F33" s="2"/>
      <c r="G33" s="2"/>
      <c r="H33" s="2"/>
      <c r="I33" s="2"/>
      <c r="J33" s="3"/>
    </row>
    <row r="34" ht="21.75" customHeight="1">
      <c r="A34" s="150" t="s">
        <v>822</v>
      </c>
      <c r="B34" s="150" t="s">
        <v>1067</v>
      </c>
      <c r="C34" s="150" t="s">
        <v>1068</v>
      </c>
      <c r="D34" s="150" t="s">
        <v>621</v>
      </c>
      <c r="E34" s="150" t="s">
        <v>1069</v>
      </c>
      <c r="F34" s="150" t="s">
        <v>1070</v>
      </c>
      <c r="G34" s="150" t="s">
        <v>626</v>
      </c>
      <c r="H34" s="17"/>
      <c r="I34" s="17"/>
      <c r="J34" s="17"/>
    </row>
    <row r="35" ht="18.75" customHeight="1">
      <c r="A35" s="12" t="s">
        <v>1071</v>
      </c>
      <c r="B35" s="151" t="s">
        <v>1072</v>
      </c>
      <c r="C35" s="11">
        <v>3.0</v>
      </c>
      <c r="D35" s="11">
        <v>7.0</v>
      </c>
      <c r="E35" s="152">
        <v>0.1</v>
      </c>
      <c r="F35" s="40">
        <f>8*3*7*0.1/3600*1000</f>
        <v>4.666666667</v>
      </c>
      <c r="G35" s="153" t="s">
        <v>1073</v>
      </c>
      <c r="H35" s="17"/>
      <c r="I35" s="17"/>
      <c r="J35" s="17"/>
    </row>
    <row r="36" ht="18.75" customHeight="1">
      <c r="A36" s="8" t="s">
        <v>1074</v>
      </c>
      <c r="B36" s="7">
        <v>2.0</v>
      </c>
      <c r="C36" s="7">
        <v>3.0</v>
      </c>
      <c r="D36" s="7">
        <v>7.0</v>
      </c>
      <c r="E36" s="154">
        <v>0.1</v>
      </c>
      <c r="F36" s="43">
        <f>2*3*7*0.1/3600*1000</f>
        <v>1.166666667</v>
      </c>
      <c r="G36" s="155" t="s">
        <v>1075</v>
      </c>
      <c r="H36" s="17"/>
      <c r="I36" s="17"/>
      <c r="J36" s="17"/>
    </row>
    <row r="37" ht="18.75" customHeight="1">
      <c r="A37" s="12" t="s">
        <v>1076</v>
      </c>
      <c r="B37" s="11">
        <v>2.0</v>
      </c>
      <c r="C37" s="11">
        <v>0.1</v>
      </c>
      <c r="D37" s="11">
        <v>7.0</v>
      </c>
      <c r="E37" s="152">
        <v>1.0</v>
      </c>
      <c r="F37" s="40">
        <f>2*0.1*7*1/3600*1000</f>
        <v>0.3888888889</v>
      </c>
      <c r="G37" s="153" t="s">
        <v>1077</v>
      </c>
      <c r="H37" s="17"/>
      <c r="I37" s="17"/>
      <c r="J37" s="17"/>
    </row>
    <row r="38" ht="18.75" customHeight="1">
      <c r="A38" s="8" t="s">
        <v>1078</v>
      </c>
      <c r="B38" s="7">
        <v>2.0</v>
      </c>
      <c r="C38" s="7">
        <v>3.0</v>
      </c>
      <c r="D38" s="7">
        <v>7.0</v>
      </c>
      <c r="E38" s="154">
        <v>0.1</v>
      </c>
      <c r="F38" s="43">
        <f>2*3*7*0.1/3600*1000</f>
        <v>1.166666667</v>
      </c>
      <c r="G38" s="155" t="s">
        <v>1079</v>
      </c>
      <c r="H38" s="17"/>
      <c r="I38" s="17"/>
      <c r="J38" s="17"/>
    </row>
    <row r="39" ht="18.75" customHeight="1">
      <c r="A39" s="12" t="s">
        <v>1080</v>
      </c>
      <c r="B39" s="11">
        <v>0.0</v>
      </c>
      <c r="C39" s="11">
        <v>30.0</v>
      </c>
      <c r="D39" s="11">
        <v>7.0</v>
      </c>
      <c r="E39" s="152">
        <v>1.0</v>
      </c>
      <c r="F39" s="40">
        <f>0*30*7*1/3600*1000</f>
        <v>0</v>
      </c>
      <c r="G39" s="153" t="s">
        <v>1081</v>
      </c>
      <c r="H39" s="17"/>
      <c r="I39" s="17"/>
      <c r="J39" s="17"/>
    </row>
    <row r="40" ht="18.75" customHeight="1">
      <c r="A40" s="8" t="s">
        <v>1082</v>
      </c>
      <c r="B40" s="7">
        <v>0.1</v>
      </c>
      <c r="C40" s="7">
        <v>2.0</v>
      </c>
      <c r="D40" s="7">
        <v>21.0</v>
      </c>
      <c r="E40" s="154">
        <v>1.0</v>
      </c>
      <c r="F40" s="43">
        <f>0.1*2*21*1/3600*1000</f>
        <v>1.166666667</v>
      </c>
      <c r="G40" s="155" t="s">
        <v>1083</v>
      </c>
      <c r="H40" s="17"/>
      <c r="I40" s="17"/>
      <c r="J40" s="17"/>
    </row>
    <row r="41" ht="16.5" customHeight="1">
      <c r="A41" s="156" t="s">
        <v>1084</v>
      </c>
      <c r="B41" s="2"/>
      <c r="C41" s="2"/>
      <c r="D41" s="2"/>
      <c r="E41" s="2"/>
      <c r="F41" s="2"/>
      <c r="G41" s="2"/>
      <c r="H41" s="2"/>
      <c r="I41" s="2"/>
      <c r="J41" s="3"/>
    </row>
    <row r="42" ht="32.25" customHeight="1">
      <c r="A42" s="28" t="s">
        <v>1085</v>
      </c>
      <c r="B42" s="157">
        <f>SUM(F35:F40)</f>
        <v>8.555555556</v>
      </c>
      <c r="C42" s="76" t="s">
        <v>1086</v>
      </c>
      <c r="D42" s="97" t="s">
        <v>1087</v>
      </c>
      <c r="E42" s="17"/>
      <c r="F42" s="17"/>
      <c r="G42" s="17"/>
      <c r="H42" s="17"/>
      <c r="I42" s="17"/>
      <c r="J42" s="17"/>
    </row>
    <row r="43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</row>
    <row r="45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</row>
    <row r="4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</row>
    <row r="47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</row>
    <row r="48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</row>
    <row r="49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</row>
    <row r="50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</row>
    <row r="51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</row>
    <row r="52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</row>
    <row r="53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</row>
    <row r="54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</row>
    <row r="55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</row>
    <row r="5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</row>
    <row r="57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</row>
    <row r="58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</row>
    <row r="59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</row>
    <row r="60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</row>
    <row r="61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</row>
    <row r="998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</row>
    <row r="999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</row>
    <row r="1000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</row>
  </sheetData>
  <mergeCells count="5">
    <mergeCell ref="A1:J1"/>
    <mergeCell ref="A2:J2"/>
    <mergeCell ref="A3:J3"/>
    <mergeCell ref="A33:J33"/>
    <mergeCell ref="A41:J4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2026-04-07T17:58:32Z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