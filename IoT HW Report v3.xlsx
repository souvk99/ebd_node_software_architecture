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v3" sheetId="1" r:id="rId4"/>
    <sheet state="visible" name="Power Simulation v3" sheetId="2" r:id="rId5"/>
    <sheet state="visible" name="Battery Options" sheetId="3" r:id="rId6"/>
    <sheet state="visible" name="HW Interface Map" sheetId="4" r:id="rId7"/>
    <sheet state="visible" name="Mechanical v3" sheetId="5" r:id="rId8"/>
  </sheets>
  <definedNames>
    <definedName hidden="1" localSheetId="0" name="_xlnm._FilterDatabase">'BOM v3'!$A$3:$Q$78</definedName>
  </definedNames>
  <calcPr/>
  <extLst>
    <ext uri="GoogleSheetsCustomDataVersion2">
      <go:sheetsCustomData xmlns:go="http://customooxmlschemas.google.com/" r:id="rId9" roundtripDataChecksum="y+EzL6aZUk7e/8AjmWZOgrsu7QR9OU8VTp1UN9jbKFQ="/>
    </ext>
  </extLst>
</workbook>
</file>

<file path=xl/sharedStrings.xml><?xml version="1.0" encoding="utf-8"?>
<sst xmlns="http://schemas.openxmlformats.org/spreadsheetml/2006/main" count="2211" uniqueCount="1394">
  <si>
    <t>BILL OF MATERIALS v3 — IoT Military LoRaWAN Tracker</t>
  </si>
  <si>
    <t>STM32WB55CGU6 | LR1120 | L89H NavIC | ISM330DLC | SE2435L 27dBm FEM | SLB9670 TPM2.0 | BQ25892 33W QC4+ | FUSB302 USB-PD | Single IP67 SW | 4-LED System</t>
  </si>
  <si>
    <t>#</t>
  </si>
  <si>
    <t>Ref Des</t>
  </si>
  <si>
    <t>Description</t>
  </si>
  <si>
    <t>Manufacturer</t>
  </si>
  <si>
    <t>Part Number</t>
  </si>
  <si>
    <t>Package</t>
  </si>
  <si>
    <t>Value / Spec</t>
  </si>
  <si>
    <t>Qty</t>
  </si>
  <si>
    <t>Unit ($)</t>
  </si>
  <si>
    <t>Ext ($)</t>
  </si>
  <si>
    <t>Vrating</t>
  </si>
  <si>
    <t>Temp (°C)</t>
  </si>
  <si>
    <t>Tolerance</t>
  </si>
  <si>
    <t>Category</t>
  </si>
  <si>
    <t>Notes / Datasheet Source</t>
  </si>
  <si>
    <t>DNP</t>
  </si>
  <si>
    <t>Alt. Part</t>
  </si>
  <si>
    <t xml:space="preserve">  ▶  ICs — MCU, WIRELESS, SECURITY</t>
  </si>
  <si>
    <t>U1</t>
  </si>
  <si>
    <t>MCU + BLE 5.4 Wireless SoC</t>
  </si>
  <si>
    <t>STMicroelectronics</t>
  </si>
  <si>
    <t>STM32WB55CGU6TR</t>
  </si>
  <si>
    <t>QFN-48 7×7×0.85mm</t>
  </si>
  <si>
    <t>Cortex-M4@64MHz + M0+@32MHz; 1MB Flash; 256KB RAM; BLE 5.4; Zigbee; 802.15.4; 2× SPI; 2× I2C; USART+LPUART; USB FS</t>
  </si>
  <si>
    <t>1.71–3.6V</t>
  </si>
  <si>
    <t>-40…+85</t>
  </si>
  <si>
    <t>—</t>
  </si>
  <si>
    <t>IC – MCU</t>
  </si>
  <si>
    <t>SPI1→LR1120; SPI2→TPM; I2C1→IMU+FG+Charger+FUSB; USART1→L89H; LPUART1→Debug UART; Stop2=2.5µA; HSE=TCXO BYPASS mode; AN5289 for wireless coex</t>
  </si>
  <si>
    <t>N</t>
  </si>
  <si>
    <t>STM32WB55RGV6TR (VFQFPN-68)</t>
  </si>
  <si>
    <t>U2</t>
  </si>
  <si>
    <t>LoRa Edge Transceiver LR-FHSS+GNSS</t>
  </si>
  <si>
    <t>Semtech</t>
  </si>
  <si>
    <t>LR1120IMLTRT</t>
  </si>
  <si>
    <t>QFN-32 5×5×0.85mm</t>
  </si>
  <si>
    <t>Sub-GHz 150-960MHz; 2.4GHz; S-Band 1.9-2.1GHz; GNSS GPS/BeiDou scanner; Wi-Fi MAC scan; LR-FHSS; SPI; +22/+15dBm internal PA; ext PA to 27dBm</t>
  </si>
  <si>
    <t>Vdd 1.8–3.7V; Vdd_rf 3.3V</t>
  </si>
  <si>
    <t>IC – RF</t>
  </si>
  <si>
    <t>SPI1 on U1 (CPOL=0 CPHA=0 up to 16MHz); NSS,DIO1,BUSY,RESET = 4 GPIO; TCXO_CTRL=DIO5 (32MHz enable); sleep&lt;1µA; ref: LR1120 DS Rev2.0; SE2435L attached to RFO_HP</t>
  </si>
  <si>
    <t>LR1110IMLTRT</t>
  </si>
  <si>
    <t>U3</t>
  </si>
  <si>
    <t>Multi-constellation GNSS (NavIC L1+L5)</t>
  </si>
  <si>
    <t>Quectel</t>
  </si>
  <si>
    <t>L89HAAMD</t>
  </si>
  <si>
    <t>LCC-52 17×15×2.4mm</t>
  </si>
  <si>
    <t>NavIC L1+L5; GPS L1; GLONASS G1; BeiDou B1; QZSS L1; 50 tracking ch; UART 115200bps; 1PPS; 3.135-3.465V ONLY</t>
  </si>
  <si>
    <t>3.135–3.465V (3.3V±1%)</t>
  </si>
  <si>
    <t>IC – GNSS</t>
  </si>
  <si>
    <t>Requires dedicated LP5907 LDO (3.3V±1% tolerance); UART1 on U1; 1PPS→GPIO EXTI; RESET→GPIO; backup 1.8-3.6V on VBCK; 15µA backup mode; tracking=18mA, acquisition=25mA; L89H HW Design Guide v1.0</t>
  </si>
  <si>
    <t>L89HAALA</t>
  </si>
  <si>
    <t>U4</t>
  </si>
  <si>
    <t>6-DOF IMU Accel+Gyro</t>
  </si>
  <si>
    <t>ISM330DLCTR</t>
  </si>
  <si>
    <t>LGA-14 2.5×3×0.83mm</t>
  </si>
  <si>
    <t>±2/4/8/16g accel; ±125/250/500/1000/2000dps gyro; I2C/SPI; INT1 wakeup; LP mode 25µA; power-down 3µA</t>
  </si>
  <si>
    <t>IC – IMU</t>
  </si>
  <si>
    <t>I2C1 shared bus; addr 0x6A (SA0=GND, R38=0Ω to GND); INT1→EXTI for sharp-accel wakeup (activity detection); VDDIO tied to 3.3V; DEN pin not used; AN5210 for activity threshold</t>
  </si>
  <si>
    <t>LSM6DSL (LGA-14)</t>
  </si>
  <si>
    <t>U5</t>
  </si>
  <si>
    <t>27dBm PA + 1.2dB NF LNA FEM</t>
  </si>
  <si>
    <t>Skyworks</t>
  </si>
  <si>
    <t>SE2435L</t>
  </si>
  <si>
    <t>QFN-12 3×3×0.85mm</t>
  </si>
  <si>
    <t>TX PA +15 to +27dBm adjustable; RX LNA NF 1.2dB; freq 863-960MHz; SPDT TX/RX; Vcc 3.0-3.6V; TX ICC=320mA@27dBm</t>
  </si>
  <si>
    <t>3.0–3.6V</t>
  </si>
  <si>
    <t>IC – RF FEM</t>
  </si>
  <si>
    <t>CSD→LR1120 DIO2 (PA enable); ANT→u.FL J4; RFC→LR1120 RFO_HP; bypass at ≤22dBm by keeping CSD low; LNA Pout max 0dBm; SE2435L datasheet v1.3; DO NOT exceed 3.6V Vcc</t>
  </si>
  <si>
    <t>RFFM4202 (similar NF but lower Pout)</t>
  </si>
  <si>
    <t>U6</t>
  </si>
  <si>
    <t>SPDT RF Switch Sub-GHz</t>
  </si>
  <si>
    <t>SKY13585-460LF</t>
  </si>
  <si>
    <t>SOT-26 2.9×1.6×1.1mm</t>
  </si>
  <si>
    <t>0.1-6GHz; IL 0.4dB; isolation 35dB; Pmax 35dBm; CMOS 1.8-3.3V ctrl; Icc&lt;10µA</t>
  </si>
  <si>
    <t>1.8-3.3V ctrl; RF 50Ω</t>
  </si>
  <si>
    <t>IC – RF Switch</t>
  </si>
  <si>
    <t>Antenna mux for LR1120 HF/LF sub-GHz ports; ctrl V1→LR1120 DIO3; ctrl V2→LR1120 DIO4; SKY13585 datasheet 202474A; very low ctrl current</t>
  </si>
  <si>
    <t>PE4259-63 (lower isolation)</t>
  </si>
  <si>
    <t>U7</t>
  </si>
  <si>
    <t>TPM 2.0 Security Controller</t>
  </si>
  <si>
    <t>Infineon</t>
  </si>
  <si>
    <t>SLB9670AQ20FW800BPLA1</t>
  </si>
  <si>
    <t>QFN-32 6×6×0.85mm</t>
  </si>
  <si>
    <t>TPM 2.0 (ISO/IEC 11889); SPI up to 33MHz; SHA-256/384/512; RSA-2048; ECC P-256/P-384; AES-128/256; RNG; NV storage; 5µA sleep</t>
  </si>
  <si>
    <t>1.7–3.6V</t>
  </si>
  <si>
    <t>IC – TPM2</t>
  </si>
  <si>
    <t>SPI2 on U1; NSS,RST,IRQ = 3 GPIO; I2C address not used; power-up time 30ms from RST release; used for payload authentication signature; SLB9670 datasheet Rev1.3; ASCON encryption handled by U1 CPU</t>
  </si>
  <si>
    <t>SLM9670AQ20FW110 (I2C variant)</t>
  </si>
  <si>
    <t>U8</t>
  </si>
  <si>
    <t>300mA Buck Regulator 3.3V</t>
  </si>
  <si>
    <t>Texas Instruments</t>
  </si>
  <si>
    <t>TPS62740DSST</t>
  </si>
  <si>
    <t>WSON-8 2×2×0.75mm</t>
  </si>
  <si>
    <t>Vin 1.8-5.5V; Vout 1.8-3.3V adj; 300mA; Iq=360nA PFM; 90% eff @1mA; L=4.7µH</t>
  </si>
  <si>
    <t>5.5V max Vin</t>
  </si>
  <si>
    <t>IC – Buck Regulator</t>
  </si>
  <si>
    <t>Main 3.3V system rail; EN→GPIO (power control); PFM below 10mA load (Iq=360nA); L3+C58/C59 external; Vout set by feedback resistors; SLVSCW4 TPS62740 datasheet</t>
  </si>
  <si>
    <t>TPS62745 (higher current)</t>
  </si>
  <si>
    <t>U9</t>
  </si>
  <si>
    <t>250mA Ultra-Low-Noise LDO 3.3V</t>
  </si>
  <si>
    <t>LP5907MFX-3.3</t>
  </si>
  <si>
    <t>SOT-23-5 2.9×1.6×1.1mm</t>
  </si>
  <si>
    <t>Vin 2.5-5.5V; Vout 3.3V fixed; 250mA; PSRR 72dB@1kHz; Iq=70µA; noise 8µVrms</t>
  </si>
  <si>
    <t>IC – LDO</t>
  </si>
  <si>
    <t>Dedicated clean 3.3V for L89H RF (requires ±1% supply) and LR1120 Vdd_rf; critical for GNSS sensitivity; PSRR 72dB ensures no switching noise from U8 buck couples to GNSS; SNVS861 LP5907 datasheet</t>
  </si>
  <si>
    <t>AP7381-33Y (higher noise)</t>
  </si>
  <si>
    <t>U10</t>
  </si>
  <si>
    <t>33W QC4+ Li-Ion Charger</t>
  </si>
  <si>
    <t>BQ25892RTWT</t>
  </si>
  <si>
    <t>WQFN-24 3.5×4×0.9mm</t>
  </si>
  <si>
    <t>Vin max 14V; Ichg max 5.1A; QC4.0/3.0; I2C; DPM; OVP; NTC; 4.2V preset; Iq=50µA</t>
  </si>
  <si>
    <t>14V max Vin</t>
  </si>
  <si>
    <t>IC – Battery Charger</t>
  </si>
  <si>
    <t>QC4+ input via FUSB302 VBUS; Icharge set to 1A (0.33C for 3000mAh = safe); INT→GPIO; CE→GPIO; ILIM=500mA USB default; 33W max at 9V/3A; ref Xiaomi 33W HW design; SLUSCU5 BQ25892 datasheet</t>
  </si>
  <si>
    <t>BQ25896RTWR</t>
  </si>
  <si>
    <t>U11</t>
  </si>
  <si>
    <t>USB-C PD 3.0 Controller</t>
  </si>
  <si>
    <t>ON Semiconductor</t>
  </si>
  <si>
    <t>FUSB302BUCX</t>
  </si>
  <si>
    <t>QFN-24 3×3×0.75mm</t>
  </si>
  <si>
    <t>USB PD 2.0/3.0; CC1/CC2; QC4+ APDO; I2C 400kHz; INT; 5-20V VBUS tolerant</t>
  </si>
  <si>
    <t>20V tolerant CC pins</t>
  </si>
  <si>
    <t>IC – USB PD</t>
  </si>
  <si>
    <t>I2C1 shared bus; addr 0x22; INT→GPIO; CC1/CC2 sense pins for cable orientation; negotiates 9V/3A=27W from PD charger; FUSB302 datasheet Rev4.1; pairs with U10 for 33W charging</t>
  </si>
  <si>
    <t>FUSB307BUCX</t>
  </si>
  <si>
    <t>U12</t>
  </si>
  <si>
    <t>1-Cell Fuel Gauge</t>
  </si>
  <si>
    <t>BQ27427YZFT</t>
  </si>
  <si>
    <t>DSBGA-9 1.6×1.5×0.5mm</t>
  </si>
  <si>
    <t>CEDV algorithm; I2C 400kHz; SoC±1%; SoH; FCC; TEMP; Vbat; Ichg; 1µA sleep</t>
  </si>
  <si>
    <t>Vbat 1.8–4.5V</t>
  </si>
  <si>
    <t>IC – Fuel Gauge</t>
  </si>
  <si>
    <t>I2C1 shared bus; addr 0x55; GPOUT→GPIO EXTI (SoC alert for 5% critical trigger); must run learning cycle after assembly; SLUSC49 BQ27427 datasheet</t>
  </si>
  <si>
    <t>LC709203F</t>
  </si>
  <si>
    <t xml:space="preserve">  ▶  RF PASSIVES &amp; CLOCK (FIX: Single TCXO)</t>
  </si>
  <si>
    <t>X1</t>
  </si>
  <si>
    <t>32MHz TCXO — Shared LR1120 + STM32WB55 HSE</t>
  </si>
  <si>
    <t>TXC Corporation</t>
  </si>
  <si>
    <t>7Q-32.000MBB-T</t>
  </si>
  <si>
    <t>SMD 2.0×1.6×0.65mm</t>
  </si>
  <si>
    <t>32.000MHz; ±0.5ppm -30..+75°C; Vcc 3.3V; CMOS output; Ise=1nA; startup 3ms; Icc 2mA active</t>
  </si>
  <si>
    <t>3.3V±5%</t>
  </si>
  <si>
    <t>±0.5ppm</t>
  </si>
  <si>
    <t>TCXO 32MHz</t>
  </si>
  <si>
    <t>SINGLE TCXO replaces 32MHz crystal. Output fans to: (a) LR1120 DIO5/TCXO_IN via 33Ω R35a; (b) STM32WB HSE_IN via 33Ω R35b. STM32WB RCC_CR: HSEON=1 + HSEBYP=1 (BYPASS mode). Class B timing benefit: TCXO drift 0.5ppm vs 20ppm crystal = 40× fewer beacon syncs needed. 7Q datasheet</t>
  </si>
  <si>
    <t>ASTX-H12-32.000MHz</t>
  </si>
  <si>
    <t>X2</t>
  </si>
  <si>
    <t>32.768kHz LSE RTC Crystal</t>
  </si>
  <si>
    <t>Epson</t>
  </si>
  <si>
    <t>FC-135 32.768KHZ-AG6</t>
  </si>
  <si>
    <t>SMD 1.6×1.0×0.5mm</t>
  </si>
  <si>
    <t>32.768kHz; ±20ppm; CL=7pF; ESR&lt;50kΩ; -40..+85°C</t>
  </si>
  <si>
    <t>±20ppm</t>
  </si>
  <si>
    <t>Crystal RTC</t>
  </si>
  <si>
    <t>RTC slow-speed external; CANNOT share with TCXO (different freq range). Load caps C50+C51=12pF each; actual CL=(12×12)/(12+12)+2pF(stray)=8pF ≈ 7pF target. Epson FC-135 datasheet</t>
  </si>
  <si>
    <t>NX1610SA-32.768K</t>
  </si>
  <si>
    <t>L1</t>
  </si>
  <si>
    <t>RF Inductor Sub-GHz Match (×2)</t>
  </si>
  <si>
    <t>Murata</t>
  </si>
  <si>
    <t>LQW15AN15NG80D</t>
  </si>
  <si>
    <t>0402 1.0×0.5mm</t>
  </si>
  <si>
    <t>15nH; Q=38@900MHz; SRF=3.6GHz; Isat=350mA; DCR 0.35Ω</t>
  </si>
  <si>
    <t>-55…+125</t>
  </si>
  <si>
    <t>±2%</t>
  </si>
  <si>
    <t>Inductor RF</t>
  </si>
  <si>
    <t>LR1120 sub-GHz RFO_HP π-network; values per Semtech AN E613V02A; DO NOT substitute without re-simulation at 868/915MHz; place within 1mm of U2 RF pins</t>
  </si>
  <si>
    <t>L2</t>
  </si>
  <si>
    <t>RF Inductor 2.4GHz Match</t>
  </si>
  <si>
    <t>LQW15AN5N6G80D</t>
  </si>
  <si>
    <t>5.6nH; Q=42@2.4GHz; SRF=7.5GHz; Isat=450mA; DCR 0.25Ω</t>
  </si>
  <si>
    <t>LR1120 HF port (2.4GHz ISM) π-match; measure S11 &lt;-15dB at 2.45GHz after assembly</t>
  </si>
  <si>
    <t>L3</t>
  </si>
  <si>
    <t>Power Inductor Buck (4.7µH)</t>
  </si>
  <si>
    <t>TDK</t>
  </si>
  <si>
    <t>SPM4015T-4R7M080A2</t>
  </si>
  <si>
    <t>4.0×4.0×1.5mm SMD</t>
  </si>
  <si>
    <t>4.7µH; Idc=800mA; Isat=1.3A; DCR=0.22Ω; freq 100kHz-3MHz; temp 105°C</t>
  </si>
  <si>
    <t>-40…+105</t>
  </si>
  <si>
    <t>±20%</t>
  </si>
  <si>
    <t>Inductor Power</t>
  </si>
  <si>
    <t>TPS62740 switch-node inductor; place within 1mm of SW pin (U8 pin 4); Isat must exceed peak switching current 600mA; SPM4015T datasheet</t>
  </si>
  <si>
    <t>DFE201612E-4R7M</t>
  </si>
  <si>
    <t>L4</t>
  </si>
  <si>
    <t>RF Choke GNSS Input</t>
  </si>
  <si>
    <t>LQW15AN3N9G80D</t>
  </si>
  <si>
    <t>3.9nH; Q=32@1.575GHz; SRF&gt;6GHz</t>
  </si>
  <si>
    <t>Series matching element at L89H GNSS RF port; loss must be &lt;0.3dB at 1575MHz (GPS L1) and 1176MHz (NavIC L5)</t>
  </si>
  <si>
    <t>FB1</t>
  </si>
  <si>
    <t>Ferrite Bead VDD_MCU Digital</t>
  </si>
  <si>
    <t>MMZ1608R301AT000</t>
  </si>
  <si>
    <t>0603 1.6×0.8mm</t>
  </si>
  <si>
    <t>300Ω@100MHz; DCR=0.1Ω; Irated=2A; SRF~500MHz</t>
  </si>
  <si>
    <t>50V DC</t>
  </si>
  <si>
    <t>-25…+85</t>
  </si>
  <si>
    <t>±25%</t>
  </si>
  <si>
    <t>Ferrite Bead</t>
  </si>
  <si>
    <t>STM32WB digital VDD supply filtering; place at VDD rail entry point; isolates MCU switching noise from analog plane; TDK MMZ datasheet</t>
  </si>
  <si>
    <t>BLM18AG601SN1D</t>
  </si>
  <si>
    <t>FB2</t>
  </si>
  <si>
    <t>Ferrite Bead VDD_GNSS</t>
  </si>
  <si>
    <t>MMZ1608R601AT000</t>
  </si>
  <si>
    <t>600Ω@100MHz; DCR=0.15Ω; Irated=1.5A</t>
  </si>
  <si>
    <t>L89H VCC supply from LP5907 LDO output; 600Ω@100MHz critical for GNSS noise floor; pair with 100nF+10µF caps on both sides</t>
  </si>
  <si>
    <t>BLM18PG601SN1</t>
  </si>
  <si>
    <t>FB3</t>
  </si>
  <si>
    <t>Ferrite Bead VDD_RF (LR1120)</t>
  </si>
  <si>
    <t>LR1120 Vdd_rf supply isolation; per Semtech LR1120 DS §7.2 layout guide Figure 22; 600Ω@100MHz minimum requirement</t>
  </si>
  <si>
    <t>FB4</t>
  </si>
  <si>
    <t>Ferrite Bead VDD_BLE (STM32WB)</t>
  </si>
  <si>
    <t>300Ω@100MHz; Irated=2A</t>
  </si>
  <si>
    <t>STM32WB SMPS/BLE RF supply (Vdd SMPS); isolates BLE TX transients from digital supply; 300Ω sufficient (lower freq BLE 2.4GHz)</t>
  </si>
  <si>
    <t>FB5</t>
  </si>
  <si>
    <t>Ferrite Bead VBUS USB</t>
  </si>
  <si>
    <t>BLM18PG600SN1D</t>
  </si>
  <si>
    <t>600Ω@100MHz; Irated=2A; DCR=0.08Ω</t>
  </si>
  <si>
    <t>VBUS entry EMI filtering before BQ25892 and FUSB302; low DCR critical for 9V/3A charge current (27W)</t>
  </si>
  <si>
    <t>FB6</t>
  </si>
  <si>
    <t>Ferrite Bead GND Bridge Analog/Digital</t>
  </si>
  <si>
    <t>MMZ1608S601AT000</t>
  </si>
  <si>
    <t>600Ω@100MHz; low-loss split; Irated=1A</t>
  </si>
  <si>
    <t>Single-point GND join between analog (GNSS/RF) and digital GND planes near board edge; prevents digital noise coupling into RF ground</t>
  </si>
  <si>
    <t xml:space="preserve">  ▶  CAPACITORS (per-component rated values)</t>
  </si>
  <si>
    <t>C1–C10</t>
  </si>
  <si>
    <t>100nF MCU Decoupling VDD</t>
  </si>
  <si>
    <t>GRM155R71C104KA88D</t>
  </si>
  <si>
    <t>100nF; 16V; X7R; ±10%; TCC -15/+15%</t>
  </si>
  <si>
    <t>16V</t>
  </si>
  <si>
    <t>±10%</t>
  </si>
  <si>
    <t>Cap MLCC</t>
  </si>
  <si>
    <t>1× per VDD/VDDSMPS/VDDRF/VDDBAT/VDDIO pin; STM32WB55 AN4991 §4.2 decoupling table; place within 0.3mm of each VDD pin; 16V rated = 5× derating on 3.3V</t>
  </si>
  <si>
    <t>CL05B104KO5NNNC</t>
  </si>
  <si>
    <t>C11–C14</t>
  </si>
  <si>
    <t>10µF Bulk MCU VDD</t>
  </si>
  <si>
    <t>GRM188R61A106KE69D</t>
  </si>
  <si>
    <t>10µF; 10V; X5R; ±10%; TCC -15/+15%@85°C</t>
  </si>
  <si>
    <t>10V</t>
  </si>
  <si>
    <t>-55…+85</t>
  </si>
  <si>
    <t>Bulk decoupling per MCU VDD domain group (1 per supply domain); 10V = 3× derating on 3.3V supply</t>
  </si>
  <si>
    <t>CL10A106KP8NNNC</t>
  </si>
  <si>
    <t>C15–C22</t>
  </si>
  <si>
    <t>100nF LR1120 Decoupling</t>
  </si>
  <si>
    <t>Samsung</t>
  </si>
  <si>
    <t>100nF; 16V; X7R; ±10%</t>
  </si>
  <si>
    <t>Per LR1120 DS §7 decoupling: 1× each at VBAT, VREG, DCDC_LF, DCDC_HF, VR_PA, VREF pins; place ≤0.3mm</t>
  </si>
  <si>
    <t>C23–C24</t>
  </si>
  <si>
    <t>10µF LR1120 VBAT Bulk</t>
  </si>
  <si>
    <t>10µF; 10V; X5R; ±10%</t>
  </si>
  <si>
    <t>LR1120 VBAT bulk hold-up; sized for 320mA TX burst; pair with 100nF C15</t>
  </si>
  <si>
    <t>C25–C30</t>
  </si>
  <si>
    <t>100nF L89H Decoupling</t>
  </si>
  <si>
    <t>L89H VCC(×2), VBCK(×1), VANT(×1), VIO(×2) pins decoupling; Quectel L89H HW Design v1.0 §4.1</t>
  </si>
  <si>
    <t>C31–C32</t>
  </si>
  <si>
    <t>10µF L89H Bulk</t>
  </si>
  <si>
    <t>L89H module VCC bulk supply; 10V rated; 10µF minimum per L89H HW guide</t>
  </si>
  <si>
    <t>C33</t>
  </si>
  <si>
    <t>100µF GNSS Hold-up Electrolytic</t>
  </si>
  <si>
    <t>Panasonic</t>
  </si>
  <si>
    <t>EEE-FK1A101GP</t>
  </si>
  <si>
    <t>SMD 6.3×5.4mm</t>
  </si>
  <si>
    <t>100µF; 10V; ±20%; ESR=0.3Ω@100Hz; 105°C rated</t>
  </si>
  <si>
    <t>Cap Electrolytic</t>
  </si>
  <si>
    <t>L89H VBCK backup capacitor; prevents cold-start corruption during power glitch; 105°C rated for extended temp; 10V = 2.7× derating; Panasonic EEE-FK series</t>
  </si>
  <si>
    <t>EEE-FK1C101P</t>
  </si>
  <si>
    <t>C34–C37</t>
  </si>
  <si>
    <t>100nF IMU Decoupling</t>
  </si>
  <si>
    <t>ISM330DLC VDD(×2) and VDDIO(×2) pins; ISM330DLC AN5210 §3.1 decoupling guide</t>
  </si>
  <si>
    <t>C38–C41</t>
  </si>
  <si>
    <t>100nF TPM Decoupling</t>
  </si>
  <si>
    <t>SLB9670 VCC decoupling; 4× as per Infineon SLB9670 application note §3.2; distribute around QFN perimeter</t>
  </si>
  <si>
    <t>C42–C45</t>
  </si>
  <si>
    <t>100pF RF Bypass NP0</t>
  </si>
  <si>
    <t>GRM1555C1H101JA01D</t>
  </si>
  <si>
    <t>100pF; 50V; C0G/NP0; ±5%; TCC±30ppm/°C</t>
  </si>
  <si>
    <t>50V</t>
  </si>
  <si>
    <t>±5%</t>
  </si>
  <si>
    <t>Cap RF</t>
  </si>
  <si>
    <t>PA supply bypass at SE2435L VCC pin and LR1120 VR_PA pin; NP0 mandatory (stable capacitance vs freq); 50V rating for RF voltage swing margin</t>
  </si>
  <si>
    <t>GJM1555C1H101JB01D</t>
  </si>
  <si>
    <t>C46–C49</t>
  </si>
  <si>
    <t>10pF RF Match NP0</t>
  </si>
  <si>
    <t>GRM1555C1H100JA01D</t>
  </si>
  <si>
    <t>10pF; 50V; C0G/NP0; ±5%</t>
  </si>
  <si>
    <t>LR1120 sub-GHz π-match shunt caps; NP0 mandatory; value validated by Semtech AN E613V02A; re-tune with VNA if freq != 868MHz</t>
  </si>
  <si>
    <t>C50–C51</t>
  </si>
  <si>
    <t>12pF LSE Load Caps</t>
  </si>
  <si>
    <t>GRM1555C1H120JA01D</t>
  </si>
  <si>
    <t>12pF; 50V; C0G/NP0; ±5%</t>
  </si>
  <si>
    <t>Cap Crystal</t>
  </si>
  <si>
    <t>32.768kHz X2 load caps; Cload_eff=(C50×C51)/(C50+C51)+Cstray; Cstray≈2pF; result≈8pF≈X2 spec 7pF (acceptable)</t>
  </si>
  <si>
    <t>C52–C53</t>
  </si>
  <si>
    <t>47µF System Rail Bulk</t>
  </si>
  <si>
    <t>EEE-FK1A470GP</t>
  </si>
  <si>
    <t>SMD 8×6.2mm</t>
  </si>
  <si>
    <t>47µF; 10V; ±20%; ESR=0.15Ω@100Hz; 105°C</t>
  </si>
  <si>
    <t>Main 3.3V bus bulk; 105°C industrial rated; handles 320mA LR-FHSS TX surge; 10V = 3× derating; placed near J2 battery connector</t>
  </si>
  <si>
    <t>EEE-FK1C470P</t>
  </si>
  <si>
    <t>C54–C57</t>
  </si>
  <si>
    <t>1µF LDO Cin/Cout</t>
  </si>
  <si>
    <t>GRM188R61A105KA61D</t>
  </si>
  <si>
    <t>1µF; 10V; X5R; ±10%</t>
  </si>
  <si>
    <t>LP5907 LDO: Cin=1µF×2, Cout=1µF×2; ESR 10-200mΩ range mandatory per LP5907 datasheet §7.1; 10V rating on 3.3V output</t>
  </si>
  <si>
    <t>CL10A105KB8NNNC</t>
  </si>
  <si>
    <t>C58–C59</t>
  </si>
  <si>
    <t>4.7µF Buck Cin/Cout</t>
  </si>
  <si>
    <t>CL10A475KO8NNNC</t>
  </si>
  <si>
    <t>4.7µF; 10V; X5R; ±10%</t>
  </si>
  <si>
    <t>TPS62740: Cin=4.7µF×2 (Vin up to 4.2V Vbat), Cout=4.7µF×2; X5R acceptable for power supply; 10V for Vbat headroom</t>
  </si>
  <si>
    <t>GRM188R61A475KE15D</t>
  </si>
  <si>
    <t>C60–C63</t>
  </si>
  <si>
    <t>100nF Charger+FUSB Decoupling</t>
  </si>
  <si>
    <t>BQ25892 VCC, PMID, VBUS bypass pins (×2); FUSB302 VDD bypass (×2)</t>
  </si>
  <si>
    <t>C64–C65</t>
  </si>
  <si>
    <t>10µF VBUS Bulk (Charger)</t>
  </si>
  <si>
    <t>GRM21BR61C106KE15L</t>
  </si>
  <si>
    <t>0805 2.0×1.25mm</t>
  </si>
  <si>
    <t>10µF; 16V; X5R; ±10%</t>
  </si>
  <si>
    <t>BQ25892 VBUS input bulk; 16V rated for 15V adapter worst-case surge (9V×1.67 surge margin); must be ≥10µF per BQ25892 datasheet §10</t>
  </si>
  <si>
    <t>CL21A106KPFNNNE</t>
  </si>
  <si>
    <t xml:space="preserve">  ▶  RESISTORS (individual ratings)</t>
  </si>
  <si>
    <t>R1–R8</t>
  </si>
  <si>
    <t>10kΩ I2C/GPIO Pull-up</t>
  </si>
  <si>
    <t>Yageo</t>
  </si>
  <si>
    <t>RC0402FR-0710KL</t>
  </si>
  <si>
    <t>10kΩ; ±1%; 62.5mW; TCR±100ppm/°C</t>
  </si>
  <si>
    <t>-55…+155</t>
  </si>
  <si>
    <t>±1%</t>
  </si>
  <si>
    <t>Resistor</t>
  </si>
  <si>
    <t>I2C1 SDA+SCL, NRST, BOOT0, LR1120 DIO1; 10kΩ gives ~330µA pull current @3.3V; adequate for 400kHz I2C FM+; verify Voh margin</t>
  </si>
  <si>
    <t>CRCW040210K0FKED</t>
  </si>
  <si>
    <t>R9–R12</t>
  </si>
  <si>
    <t>100kΩ Pull-down</t>
  </si>
  <si>
    <t>RC0402FR-07100KL</t>
  </si>
  <si>
    <t>100kΩ; ±1%; 62.5mW</t>
  </si>
  <si>
    <t>LR1120 BUSY (ensures defined state in sleep), TPM RST hold-down, L89H unused pins; 100kΩ = 33µA @3.3V pull</t>
  </si>
  <si>
    <t>CRCW0402100KFKED</t>
  </si>
  <si>
    <t>R13–R21</t>
  </si>
  <si>
    <t>330Ω LED Current Limit</t>
  </si>
  <si>
    <t>RC0402FR-07330RL</t>
  </si>
  <si>
    <t>330Ω; ±1%; 62.5mW; TCR±100ppm/°C</t>
  </si>
  <si>
    <t>D1 RGB(×3), D2 Green(×1), D3 R+G(×2), D4 RGB(×3) = 9 total; If=(3.3-Vf)/330: Red(Vf=2.0V)→3.9mA, Green(Vf=2.1V)→3.6mA, Blue(Vf=3.2V)→0.3mA; use 150Ω for Blue if brightness insufficient</t>
  </si>
  <si>
    <t>CRCW0402330RFKED</t>
  </si>
  <si>
    <t>R22–R25</t>
  </si>
  <si>
    <t>33Ω SPI/UART Series Termination</t>
  </si>
  <si>
    <t>RC0402FR-0733RL</t>
  </si>
  <si>
    <t>33Ω; ±1%; 62.5mW</t>
  </si>
  <si>
    <t>SPI1 MOSI/MISO/SCK to LR1120; SPI2 MOSI/MISO/SCK to TPM (shared, 4 lines total); prevents ringing on lines &gt;50mm; damping resistor not to be placed at receiver end</t>
  </si>
  <si>
    <t>CRCW040233R0FKED</t>
  </si>
  <si>
    <t>R26–R27</t>
  </si>
  <si>
    <t>10kΩ SW1 Pull-up + Debounce</t>
  </si>
  <si>
    <t>10kΩ; ±1%; 62.5mW</t>
  </si>
  <si>
    <t>Single IP67 button SW1: R26=pull-up to 3.3V; R27=RC debounce series; with C_debounce 100nF, τ=1ms; MCU firmware: long-press 6s=ON/OFF, double-press=SOS</t>
  </si>
  <si>
    <t>R28</t>
  </si>
  <si>
    <t>1kΩ RC Debounce Series SW1</t>
  </si>
  <si>
    <t>RC0402FR-071KL</t>
  </si>
  <si>
    <t>1kΩ; ±1%; 62.5mW</t>
  </si>
  <si>
    <t>Series R with 100nF cap for hardware RC debounce of SW1; τ=100µs; EXTI fires after falling edge is stable</t>
  </si>
  <si>
    <t>CRCW04021K00FKED</t>
  </si>
  <si>
    <t>R29–R30</t>
  </si>
  <si>
    <t>4.7kΩ I2C Pull-up (BQ27427/BQ25892/FUSB302)</t>
  </si>
  <si>
    <t>RC0402FR-074K7L</t>
  </si>
  <si>
    <t>4.7kΩ; ±1%; 62.5mW</t>
  </si>
  <si>
    <t>I2C1 bus second pull-up pair (supplement R1-R2); supports 4 devices at 400kHz; total 2.35kΩ parallel = adequate for I2C timing with Cbus&lt;100pF</t>
  </si>
  <si>
    <t>CRCW04024K70FKED</t>
  </si>
  <si>
    <t>R31</t>
  </si>
  <si>
    <t>10kΩ NTC Battery Thermistor</t>
  </si>
  <si>
    <t>NCP15XH103F03RC</t>
  </si>
  <si>
    <t>10kΩ@25°C; NTC; B=3380K; ±1%; Rmin=1kΩ@100°C</t>
  </si>
  <si>
    <t>-40…+125</t>
  </si>
  <si>
    <t>NTC Thermistor</t>
  </si>
  <si>
    <t>Battery temp sense to BQ25892 TS pin; charges suspended if T&gt;45°C or T&lt;0°C (Li-ion safety); NCP15XH datasheet; place on PCB adjacent to battery connector J2</t>
  </si>
  <si>
    <t>SDNT0402X103J3450FTF</t>
  </si>
  <si>
    <t>R32–R33</t>
  </si>
  <si>
    <t>Vbatt Monitor Divider</t>
  </si>
  <si>
    <t>RC0402FR-071ML + RC0402FR-07470KL</t>
  </si>
  <si>
    <t>1MΩ+470kΩ; ±1%; 62.5mW</t>
  </si>
  <si>
    <t>Vbat divider to MCU ADC1_IN; ratio=470/(1000+470)=0.32; Vadc=4.2×0.32=1.34V&lt;3.3V max; total divider current=4.2V/1.47MΩ=2.86µA (negligible)</t>
  </si>
  <si>
    <t>CRCW04021M00FKED</t>
  </si>
  <si>
    <t>R34</t>
  </si>
  <si>
    <t>0Ω Solder Jumper (×3)</t>
  </si>
  <si>
    <t>RC0402FR-070RL</t>
  </si>
  <si>
    <t>0Ω; 1A max</t>
  </si>
  <si>
    <t>Config jumpers: J_BOOT0 (MCU boot mode select), J_UART_DBG (debug UART route), J_ANT_SEL (antenna path option)</t>
  </si>
  <si>
    <t>R35a–R35b</t>
  </si>
  <si>
    <t>33Ω TCXO Fan-out Buffer</t>
  </si>
  <si>
    <t>FIX1 TCXO fan-out: R35a=33Ω to LR1120 DIO5 TCXO_IN; R35b=33Ω to STM32WB HSE_IN; isolates capacitive loads; prevents output loading the TCXO 50Ω drive</t>
  </si>
  <si>
    <t>R36</t>
  </si>
  <si>
    <t>100Ω RF Unused Port Term</t>
  </si>
  <si>
    <t>RC0402FR-07100RL</t>
  </si>
  <si>
    <t>100Ω; ±1%; 125mW</t>
  </si>
  <si>
    <t>SKY13585 unused RF switch ports terminated to prevent reflection; matched to 50Ω antenna system</t>
  </si>
  <si>
    <t>CRCW0402100RFKED</t>
  </si>
  <si>
    <t xml:space="preserve">  ▶  CRYSTALS, CONNECTORS, SWITCHES</t>
  </si>
  <si>
    <t>J1</t>
  </si>
  <si>
    <t>USB-C Receptacle 2.0</t>
  </si>
  <si>
    <t>Korean Hroparts</t>
  </si>
  <si>
    <t>TYPE-C-31-M-12</t>
  </si>
  <si>
    <t>SMD Vertical 8.9×4.7mm</t>
  </si>
  <si>
    <t>USB 2.0; D+/D-; CC1/CC2; VBUS/GND; 5A contacts; IP-sealed via internal gasket</t>
  </si>
  <si>
    <t>20V contacts</t>
  </si>
  <si>
    <t>Connector</t>
  </si>
  <si>
    <t>VBUS→F1→BQ25892; CC1/CC2→FUSB302; D+/D-→optional USB debug (not routed in default config); USB4135-GF-A alternative has locking tab</t>
  </si>
  <si>
    <t>USB4135-GF-A</t>
  </si>
  <si>
    <t>J2</t>
  </si>
  <si>
    <t>Battery Connector JST-PH</t>
  </si>
  <si>
    <t>JST</t>
  </si>
  <si>
    <t>S2B-PH-K-S(LF)(SN)</t>
  </si>
  <si>
    <t>2-pin PH 2.0mm SMT</t>
  </si>
  <si>
    <t>2A; 250V; gold-plated contacts; -25..+85°C mating</t>
  </si>
  <si>
    <t>250V contact</t>
  </si>
  <si>
    <t>LiPo battery +/- ; polarity marked on silkscreen; F1 polyfuse on + rail; D5 Schottky reverse protection; verify polarity before first power-on</t>
  </si>
  <si>
    <t>2510WV-02</t>
  </si>
  <si>
    <t>J3</t>
  </si>
  <si>
    <t>SWD+UART Debug 10-pin</t>
  </si>
  <si>
    <t>Samtec</t>
  </si>
  <si>
    <t>FTSH-105-01-F-DV</t>
  </si>
  <si>
    <t>10-pin 1.27mm SMT</t>
  </si>
  <si>
    <t>SWDIO/SWDCLK/SWO/RESET/UART_TX/RX/3.3V/GND; 1A; SMT solder-in</t>
  </si>
  <si>
    <t>3.3V on VDD</t>
  </si>
  <si>
    <t>Pin1=3.3V; Pin2=SWDIO; Pin3=GND; Pin4=SWDCLK; Pin5=GND; Pin6=SWO; Pin7=NC; Pin8=UART_TX(U1 LPUART1); Pin9=UART_RX; Pin10=RESET; populate in proto/dev only; can be removed in production</t>
  </si>
  <si>
    <t>FTSH-105-01-L-DV</t>
  </si>
  <si>
    <t>J4</t>
  </si>
  <si>
    <t>u.FL Sub-GHz LoRa Antenna</t>
  </si>
  <si>
    <t>Hirose</t>
  </si>
  <si>
    <t>U.FL-R-SMT-1(10)</t>
  </si>
  <si>
    <t>u.FL SMT 3.0×3.0mm</t>
  </si>
  <si>
    <t>50Ω; 6GHz rated; 0.5dB IL; 500 mating cycles; gold center</t>
  </si>
  <si>
    <t>50Ω RF</t>
  </si>
  <si>
    <t>Connector RF</t>
  </si>
  <si>
    <t>LR1120→SE2435L→SKY13585→J4; external SMA pigtail to helical/whip antenna; DO NOT TX without antenna connected; risk of PA burnout</t>
  </si>
  <si>
    <t>MUFL040T10E</t>
  </si>
  <si>
    <t>J5</t>
  </si>
  <si>
    <t>u.FL GNSS Antenna</t>
  </si>
  <si>
    <t>50Ω; 6GHz rated</t>
  </si>
  <si>
    <t>L89H GNSS RF input; active patch or helical antenna; LNA bias via VANT pin if active antenna used; passive antenna: no bias needed, short DC block cap</t>
  </si>
  <si>
    <t>SW1</t>
  </si>
  <si>
    <t>IP67 Push Button — Single Dual-Function</t>
  </si>
  <si>
    <t>E-Switch</t>
  </si>
  <si>
    <t>PB82G31BBLK03</t>
  </si>
  <si>
    <t>8×8mm SMD body</t>
  </si>
  <si>
    <t>IP67; 50mA; 12VDC; 260gf actuation force; -40..+85°C; 100k cycles</t>
  </si>
  <si>
    <t>12VDC</t>
  </si>
  <si>
    <t>Switch IP67</t>
  </si>
  <si>
    <t>FIX3: Single button for TWO functions. Firmware: (1) Long press ≥6s → power ON or OFF; (2) Double press &lt;500ms gap → SOS alert activate. Hardware debounce: R26+C_debounce RC. EXTI on falling edge with IRQ handler. Replaces SW2 slide switch (removed to reduce BOM)</t>
  </si>
  <si>
    <t>FSM4JSMATR</t>
  </si>
  <si>
    <t xml:space="preserve">  ▶  LEDs — 4-LED INDICATOR SYSTEM</t>
  </si>
  <si>
    <t>D1</t>
  </si>
  <si>
    <t>RGB LED — Battery SOC Indicator</t>
  </si>
  <si>
    <t>Würth Elektronik</t>
  </si>
  <si>
    <t>150141M173100</t>
  </si>
  <si>
    <t>0606 2×2×0.55mm RGB</t>
  </si>
  <si>
    <t>R:620nm Vf=2.0V; G:525nm Vf=2.1V; B:465nm Vf=3.2V; 20mA max; 30mcd@10mA; common cathode</t>
  </si>
  <si>
    <t>3.3V supply</t>
  </si>
  <si>
    <t>LED RGB</t>
  </si>
  <si>
    <t>Battery SOC: G=100%(≥95%); B=75%(70-94%); R+G=50%(40-69%); R=25%(10-39%); Blink-R@500ms=Critical≤5%; Cyan(G+B)=Charging; Dim-G=Full charged. 10% PWM duty for all solid states (saves 90% power). MCU: 3× TIM1 PWM channels</t>
  </si>
  <si>
    <t>LTST-C19HE1WT</t>
  </si>
  <si>
    <t>D2</t>
  </si>
  <si>
    <t>Green LED — NavIC/GNSS Fix</t>
  </si>
  <si>
    <t>Lite-On</t>
  </si>
  <si>
    <t>LTST-C191KGKT</t>
  </si>
  <si>
    <t>Green 525nm; Vf=2.1V@20mA; 100mcd@20mA; half-angle 70°</t>
  </si>
  <si>
    <t>LED Green</t>
  </si>
  <si>
    <t>GNSS status: Solid=fix acquired; SlowBlink(1s/2s)=searching; 3xFlash=fix lost; OFF=backup mode. 10% PWM for solid state</t>
  </si>
  <si>
    <t>APT1608CGCK</t>
  </si>
  <si>
    <t>D3-R</t>
  </si>
  <si>
    <t>Red LED — LR-FHSS TX Indicator</t>
  </si>
  <si>
    <t>LTST-C191KRKT</t>
  </si>
  <si>
    <t>Red 625nm; Vf=2.0V@20mA; 130mcd@20mA</t>
  </si>
  <si>
    <t>LED Red</t>
  </si>
  <si>
    <t>100ms RED flash on LR-FHSS TX event (pulse synchronized to frame start). Full brightness for visibility. Separate GPIO pin from D3-G</t>
  </si>
  <si>
    <t>APT1608SURCK</t>
  </si>
  <si>
    <t>D3-G</t>
  </si>
  <si>
    <t>Green LED — LoRaWAN TX Indicator</t>
  </si>
  <si>
    <t>Green 525nm; Vf=2.1V@20mA</t>
  </si>
  <si>
    <t>100ms GREEN flash on standard LoRaWAN TX. Alternating R/G during RX window (200ms each). SOS: rapid R+G double-flash pattern</t>
  </si>
  <si>
    <t>D4</t>
  </si>
  <si>
    <t>RGB LED — RSSI Signal Strength</t>
  </si>
  <si>
    <t>Same as D1; R/G/B</t>
  </si>
  <si>
    <t>RSSI after each TX: G=≥-80dBm; B=-80to-100dBm; Y(R+G)=-100to-120dBm; R=&lt;-120dBm; FastBlink-R=No signal. 10% PWM; 3s display then OFF</t>
  </si>
  <si>
    <t xml:space="preserve">  ▶  PROTECTION, MISC</t>
  </si>
  <si>
    <t>TVS1</t>
  </si>
  <si>
    <t>ESD Array USB D+/D-/VBUS</t>
  </si>
  <si>
    <t>Littelfuse</t>
  </si>
  <si>
    <t>SP0503BAHTG</t>
  </si>
  <si>
    <t>SOT-363 2×2mm</t>
  </si>
  <si>
    <t>5V clamp; 3-line; Cj=0.5pF@0V; USB 2.0 rated; ESD 8kV HBM</t>
  </si>
  <si>
    <t>5V clamp</t>
  </si>
  <si>
    <t>-55…+150</t>
  </si>
  <si>
    <t>ESD Protection</t>
  </si>
  <si>
    <t>Protects FUSB302 CC/D± from ESD; Cj&lt;0.5pF mandatory for USB 2.0 signal integrity; place within 1mm of J1</t>
  </si>
  <si>
    <t>PRTR5V0U2X</t>
  </si>
  <si>
    <t>TVS2</t>
  </si>
  <si>
    <t>ESD Array SPI Lines</t>
  </si>
  <si>
    <t>Vishay</t>
  </si>
  <si>
    <t>PRTR5V0U2X215</t>
  </si>
  <si>
    <t>5V clamp; 2-line; Cj=0.4pF; ESD 8kV HBM</t>
  </si>
  <si>
    <t>Protects LR1120 and TPM SPI lines from ESD at connector/test point entry; Cj&lt;0.5pF preserves SPI timing</t>
  </si>
  <si>
    <t>SP0502BAHTG</t>
  </si>
  <si>
    <t>D5–D6</t>
  </si>
  <si>
    <t>Schottky Diode Pair OR-ing</t>
  </si>
  <si>
    <t>BAT54S-E3-08</t>
  </si>
  <si>
    <t>SOT-23 2.9×1.3mm</t>
  </si>
  <si>
    <t>Dual Schottky; 30V; 200mA each; Vf=0.3V@1mA; 0.5V@100mA; Tj max 150°C</t>
  </si>
  <si>
    <t>30V</t>
  </si>
  <si>
    <t>-65…+150</t>
  </si>
  <si>
    <t>Diode Schottky</t>
  </si>
  <si>
    <t>Reverse polarity protection on J2 battery + USB/battery power OR-ing; Vf=0.5V@100mA acceptable (0.5V drop on 3.7V = 13.5%); BAT54S contains 2 diodes</t>
  </si>
  <si>
    <t>BAT54WSFILM</t>
  </si>
  <si>
    <t>F1</t>
  </si>
  <si>
    <t>Polyfuse 500mA Self-Resetting</t>
  </si>
  <si>
    <t>Bourns</t>
  </si>
  <si>
    <t>MF-MSMF050-2</t>
  </si>
  <si>
    <t>1812 4.5×3.2mm</t>
  </si>
  <si>
    <t>Hold 500mA; Trip 1A; 6V max; -40..+85°C; self-reset when fault cleared</t>
  </si>
  <si>
    <t>6V</t>
  </si>
  <si>
    <t>Fuse Resettable</t>
  </si>
  <si>
    <t>Battery positive rail overcurrent protection; 500mA hold covers normal operation; 1A trip for shorts; 6V = 1.6× derating on 4.2V Vbat; reset time ~30s after fault cleared; Bourns MF-MSMF050 datasheet</t>
  </si>
  <si>
    <t>0ZCF0050AF2C</t>
  </si>
  <si>
    <t>TOTAL — Single Unit</t>
  </si>
  <si>
    <t>POWER BUDGET &amp; BATTERY LIFE — CLASS B LoRaWAN/LR-FHSS</t>
  </si>
  <si>
    <t>Reference: SenseCAP T1000 (700mAh, LR1110, ~4mAh/day @ 24 UL/day) | Our device: 2 UL/day Class B → ~1.9mAh/day → 3000mAh = 3.2 YEARS runtime</t>
  </si>
  <si>
    <t xml:space="preserve">  ▶  A  SYSTEM ASSUMPTIONS &amp; REFERENCE PRODUCT BENCHMARKS</t>
  </si>
  <si>
    <t>Parameter</t>
  </si>
  <si>
    <t>Value</t>
  </si>
  <si>
    <t>Unit</t>
  </si>
  <si>
    <t>Notes</t>
  </si>
  <si>
    <t>Battery Capacity</t>
  </si>
  <si>
    <t>mAh</t>
  </si>
  <si>
    <t>Nominal selected — detailed sizing in Section D</t>
  </si>
  <si>
    <t>Battery Nom. Voltage</t>
  </si>
  <si>
    <t>V</t>
  </si>
  <si>
    <t>Single-cell LiPo/Li-Ion</t>
  </si>
  <si>
    <t>Buck Efficiency (TPS62740)</t>
  </si>
  <si>
    <t>%</t>
  </si>
  <si>
    <t>PFM mode @typical IoT load &lt;10mA; SLVSCW4</t>
  </si>
  <si>
    <t>Battery DoD (usable)</t>
  </si>
  <si>
    <t>factor</t>
  </si>
  <si>
    <t>80% depth-of-discharge + 5% aging margin</t>
  </si>
  <si>
    <t>Safety Margin</t>
  </si>
  <si>
    <t>8% design margin for temperature/degradation</t>
  </si>
  <si>
    <t>Uplinks per Day</t>
  </si>
  <si>
    <t>/day</t>
  </si>
  <si>
    <t>One at T=0h, one at T=12h (Class B schedule)</t>
  </si>
  <si>
    <t>LR-FHSS TX Duration</t>
  </si>
  <si>
    <t>s</t>
  </si>
  <si>
    <t>H=3 headers; Nf≈12 frags; T_ToA=(3×114+12×57)/488.28 ms</t>
  </si>
  <si>
    <t>LR-FHSS TX Current @27dBm</t>
  </si>
  <si>
    <t>mA</t>
  </si>
  <si>
    <t>SE2435L PA (200mA) + LR1120 (120mA) combined; SE2435L DS</t>
  </si>
  <si>
    <t>RF Switch ICC during TX</t>
  </si>
  <si>
    <t>SKY13585 CMOS switch ICC @3.3V ctrl; SKY13585 DS</t>
  </si>
  <si>
    <t>LR1120 RX Current</t>
  </si>
  <si>
    <t>LR1120 active RX mode; DS Rev2.0 §5.2 Table 5</t>
  </si>
  <si>
    <t>LR1120 Deep Sleep</t>
  </si>
  <si>
    <t>0.9µA; DS Rev2.0 §5.1 Table 3</t>
  </si>
  <si>
    <t>STM32WB55 Stop2</t>
  </si>
  <si>
    <t>2.5µA Stop2 with RTC active; AN5289 §3.4</t>
  </si>
  <si>
    <t>ISM330DLC LP Accel</t>
  </si>
  <si>
    <t>25µA LP accel-only @52Hz; always-on for IMU wakeup; AN5210</t>
  </si>
  <si>
    <t>L89H GNSS Backup</t>
  </si>
  <si>
    <t>15µA backup mode (VBCK powered, RTC running, ready hot-start)</t>
  </si>
  <si>
    <t>BQ27427 FG Sleep</t>
  </si>
  <si>
    <t>1.5µA sleep; continuous coulomb counting; SLUSC49</t>
  </si>
  <si>
    <t>SLB9670 TPM Sleep</t>
  </si>
  <si>
    <t>5µA deep sleep between transactions; SLB9670 DS</t>
  </si>
  <si>
    <t>TPS62740 Buck PFM Iq</t>
  </si>
  <si>
    <t>360nA PFM quiescent; SLVSCW4 §6.3</t>
  </si>
  <si>
    <t>LP5907 LDO Iq</t>
  </si>
  <si>
    <t>70µA quiescent when enabled (GNSS/RF supply on); SNVS861</t>
  </si>
  <si>
    <t>Pull-ups + PCB leakage</t>
  </si>
  <si>
    <t>Estimated; all pull-ups @3.3V; 10kΩ×10 lines = 3.3mA but most in high-Z</t>
  </si>
  <si>
    <t>-- REFERENCE --</t>
  </si>
  <si>
    <t>SenseCAP T1000</t>
  </si>
  <si>
    <t>Seeed</t>
  </si>
  <si>
    <t>LR1110+nRF52840; 700mAh Li-ion; IP65</t>
  </si>
  <si>
    <t>T1000 Battery</t>
  </si>
  <si>
    <t>Source: T1000-E product page; wiki.seeedstudio.com/SenseCAP_T1000</t>
  </si>
  <si>
    <t>T1000 Upload interval</t>
  </si>
  <si>
    <t>hr</t>
  </si>
  <si>
    <t>1 upload/hour = 24/day; GNSS-only mode; motion sensor disabled</t>
  </si>
  <si>
    <t>T1000 Claimed life</t>
  </si>
  <si>
    <t>3+ months</t>
  </si>
  <si>
    <t>Source: Seeed Wiki; ~90-120 days → ~4-5 mAh/day estimated</t>
  </si>
  <si>
    <t>T1000 derived daily</t>
  </si>
  <si>
    <t>mAh/day</t>
  </si>
  <si>
    <t>Reverse-calculated: 700×0.85×0.88/90 days ≈ 5.8; conservative 4.5</t>
  </si>
  <si>
    <t>Our device scaled (2UL/day vs 24)</t>
  </si>
  <si>
    <t>Active TX energy scales 2/24=8.3%; sleep dominates → ~1.9 mAh/day</t>
  </si>
  <si>
    <t xml:space="preserve">  ▶  B  SLEEP CURRENT (ALWAYS-ON COMPONENTS IN ULTRA-LOW-POWER MODE)</t>
  </si>
  <si>
    <t>Component</t>
  </si>
  <si>
    <t>Sleep Current (mA)</t>
  </si>
  <si>
    <t>Source</t>
  </si>
  <si>
    <t>STM32WB55 Stop2 + RTC</t>
  </si>
  <si>
    <t>AN5289 §3.4</t>
  </si>
  <si>
    <t>2.5µA; SRAM1 retained; HSE off; LSE on</t>
  </si>
  <si>
    <t>Semtech LR1120 deep sleep</t>
  </si>
  <si>
    <t>LR1120 DS Rev2.0 §5.1</t>
  </si>
  <si>
    <t>0.9µA; BUSY high; all RF off</t>
  </si>
  <si>
    <t>ISM330DLC LP Accel @52Hz</t>
  </si>
  <si>
    <t>ISM330DLC DS §4.1</t>
  </si>
  <si>
    <t>25µA; accel-only LP mode; always on for shock detect</t>
  </si>
  <si>
    <t>Quectel L89H backup</t>
  </si>
  <si>
    <t>L89H HW Design §2.3</t>
  </si>
  <si>
    <t>15µA; VBCK powered; RTC active; hot-start capable</t>
  </si>
  <si>
    <t>BQ27427 Fuel Gauge</t>
  </si>
  <si>
    <t>BQ27427 DS SLUSC49</t>
  </si>
  <si>
    <t>1.5µA; continuous coulomb counting; I2C ready</t>
  </si>
  <si>
    <t>SLB9670 TPM 2.0</t>
  </si>
  <si>
    <t>SLB9670 DS §4.2</t>
  </si>
  <si>
    <t>5µA; TPM off but powered; random ready</t>
  </si>
  <si>
    <t>TPS62740 Buck PFM</t>
  </si>
  <si>
    <t>TPS62740 DS SLVSCW4</t>
  </si>
  <si>
    <t>360nA PFM quiescent; lowest Iq at no-load</t>
  </si>
  <si>
    <t>LP5907 LDO (GNSS/RF supply)</t>
  </si>
  <si>
    <t>LP5907 DS SNVS861</t>
  </si>
  <si>
    <t>70µA; LDO must stay on for L89H VBCK; Iq dominant</t>
  </si>
  <si>
    <t>Estimate</t>
  </si>
  <si>
    <t>~2µA; 10kΩ lines mostly high-Z; see R1-R8 notes</t>
  </si>
  <si>
    <t>TOTAL SLEEP CURRENT (mA)</t>
  </si>
  <si>
    <t>Sum of all always-on component sleep currents</t>
  </si>
  <si>
    <t>SLEEP ENERGY PER DAY (mAh/day)</t>
  </si>
  <si>
    <t>total_sleep_mA x 24h; dominates budget at low UL rate</t>
  </si>
  <si>
    <t xml:space="preserve">  ▶  C  ACTIVE EVENT ENERGY (Class B, 2 Uplinks/Day, LR-FHSS @27dBm)</t>
  </si>
  <si>
    <t>Event</t>
  </si>
  <si>
    <t>Current (mA)</t>
  </si>
  <si>
    <t>Duration (s)</t>
  </si>
  <si>
    <t>Events/Day</t>
  </si>
  <si>
    <t>µAh/Event</t>
  </si>
  <si>
    <t>µAh/Day</t>
  </si>
  <si>
    <t>% of Active</t>
  </si>
  <si>
    <t>STM32WB wakeup + PLL init</t>
  </si>
  <si>
    <t>MCU wakeup from Stop2 + PLL lock; ~3ms; all active events</t>
  </si>
  <si>
    <t>ASCON-128 encrypt payload (50B)</t>
  </si>
  <si>
    <t>Software ASCON @64MHz; 50ms per TX; measured on Cortex-M4</t>
  </si>
  <si>
    <t>TPM ECC P-256 sign + SPI transfer</t>
  </si>
  <si>
    <t>SLB9670 sign=100ms + 10ms SPI; 20mA total (MCU+TPM+SPI)</t>
  </si>
  <si>
    <t>LR1120 PLL lock + calibrate</t>
  </si>
  <si>
    <t>LR1120 wake + frequency calibration before TX; typ 30ms</t>
  </si>
  <si>
    <t>LR-FHSS TX @27dBm (SE2435L+LR1120)</t>
  </si>
  <si>
    <t>320mA = SE2435L PA 200mA + LR1120 TX 120mA; 2.1s/frame; DOMINANT TX COST</t>
  </si>
  <si>
    <t>RF Switch SKY13585 TX active</t>
  </si>
  <si>
    <t>CMOS switch Icc during TX; controlled by LR1120 DIO3/4; very low</t>
  </si>
  <si>
    <t>RX1 window (1s wait + 200ms RX)</t>
  </si>
  <si>
    <t>Class A RX1: 1s guard + 200ms RX; LR1120 RX @5.5mA</t>
  </si>
  <si>
    <t>RX2 window (1s wait + 200ms RX)</t>
  </si>
  <si>
    <t>Class A RX2 fallback; same duration; if no DL in RX1</t>
  </si>
  <si>
    <t>MCU process downlink + return sleep</t>
  </si>
  <si>
    <t>Parse ACK/DL payload + ASCON decrypt; 20ms @15mA; re-enter Stop2</t>
  </si>
  <si>
    <t>Class B beacon RX</t>
  </si>
  <si>
    <t>TCXO±0.5ppm: beacon sync needed every 10.7h = 2.24/day; 10.5mA</t>
  </si>
  <si>
    <t>Class B ping slot (periodicity 3)</t>
  </si>
  <si>
    <t>86400/(2^3×128)=84.4 slots/day; 20ms RX window each; most empty</t>
  </si>
  <si>
    <t>GNSS NavIC hot-start fix (×1/day)</t>
  </si>
  <si>
    <t>L89H hot start avg 45s@20mA; tracked via LR1110 cloud solver</t>
  </si>
  <si>
    <t>IMU motion detection wakeup</t>
  </si>
  <si>
    <t>Sharp accel wakeup (rare normal ops); 0 budgeted; SOS-only</t>
  </si>
  <si>
    <t>LED status display events</t>
  </si>
  <si>
    <t>10% PWM × 7mA = 0.7mA; 3s on 8 state-change events/day</t>
  </si>
  <si>
    <t>Fuel gauge I2C poll (hourly)</t>
  </si>
  <si>
    <t>BQ27427 read over I2C1; 5ms @2mA; 24 polls/day</t>
  </si>
  <si>
    <t>TOTAL ACTIVE DAILY ENERGY</t>
  </si>
  <si>
    <t>Sum of all active events converted from µAh to mAh</t>
  </si>
  <si>
    <t xml:space="preserve">  ▶  D  GRAND TOTAL DAILY CONSUMPTION</t>
  </si>
  <si>
    <t>Sleep Energy (mAh/day)</t>
  </si>
  <si>
    <t>Active Events Energy (mAh/day)</t>
  </si>
  <si>
    <t>TOTAL DAILY CONSUMPTION</t>
  </si>
  <si>
    <t>THIS IS THE KEY VALUE. Reference: T1000=~4.5mAh/day @24UL/day; ours=~1.9mAh/day @2UL/day</t>
  </si>
  <si>
    <t xml:space="preserve">  ▶  E  BATTERY LIFE PROJECTION — 1 YEAR TARGET (ALL SHOULD PASS)</t>
  </si>
  <si>
    <t>NOTE: SenseCAP T1000 achieves 3+ months on 700mAh @ 24UL/day. Our device at 2UL/day on 2500-3500mAh should easily achieve 2+ years.</t>
  </si>
  <si>
    <t>Battery (mAh)</t>
  </si>
  <si>
    <t>Usable Cap (mAh)</t>
  </si>
  <si>
    <t>Daily (mAh)</t>
  </si>
  <si>
    <t>Annual Need (mAh)</t>
  </si>
  <si>
    <t>Runtime (Days)</t>
  </si>
  <si>
    <t>Runtime (Years)</t>
  </si>
  <si>
    <t>Passes 1-Year?</t>
  </si>
  <si>
    <t>Recommendation</t>
  </si>
  <si>
    <t xml:space="preserve">  ▶  F  BATTERY RECOMMENDATION</t>
  </si>
  <si>
    <t>RECOMMENDED CHOICE</t>
  </si>
  <si>
    <t>3000mAh LiPo/Li-Ion pouch cell</t>
  </si>
  <si>
    <t>Fits 60×40×4.8mm; &lt;55g; 3×C rate safe @1A charge; 3.0-3.3 years runtime; JST-PH connector</t>
  </si>
  <si>
    <t>Minimum viable</t>
  </si>
  <si>
    <t>2500mAh</t>
  </si>
  <si>
    <t>2.7 years; adequate but less margin for aging/temperature</t>
  </si>
  <si>
    <t>Maximum (form-factor limit)</t>
  </si>
  <si>
    <t>3500mAh</t>
  </si>
  <si>
    <t>3.7 years; heavier; check 70×90×12mm enclosure fit</t>
  </si>
  <si>
    <t>Average current (µA)</t>
  </si>
  <si>
    <t>See cell B below</t>
  </si>
  <si>
    <t>Useful for regulator/LDO selection; must be below any threshold Iq</t>
  </si>
  <si>
    <t>µA avg</t>
  </si>
  <si>
    <t>Time-weighted average current; ~79µA typical; dominated by LP5907 70µA Iq</t>
  </si>
  <si>
    <t>BATTERY OPTIONS CATALOG — IoT Tracker Application</t>
  </si>
  <si>
    <t>Requirement: 2500–3500mAh | 3.7V Li-Ion or LiPo | Rechargeable | 60×40mm form factor preferred | -40°C military grade for some options | JST-PH 2.0mm connector | PCM protection | IEC62133 / UN38.3 certified</t>
  </si>
  <si>
    <t xml:space="preserve">  ▶  A  RECOMMENDED LIPO POUCH CELLS (Best for flat form factor 70×90×12mm device)</t>
  </si>
  <si>
    <t>Product / Model</t>
  </si>
  <si>
    <t>Capacity</t>
  </si>
  <si>
    <t>Nom. V</t>
  </si>
  <si>
    <t>Max V</t>
  </si>
  <si>
    <t>Dimensions (mm)</t>
  </si>
  <si>
    <t>Weight (g)</t>
  </si>
  <si>
    <t>Temp Op (°C)</t>
  </si>
  <si>
    <t>Charge Temp</t>
  </si>
  <si>
    <t>Cycle Life</t>
  </si>
  <si>
    <t>Chemistry</t>
  </si>
  <si>
    <t>Protection</t>
  </si>
  <si>
    <t>Unit Price ($)</t>
  </si>
  <si>
    <t>Source / Datasheet</t>
  </si>
  <si>
    <t>Panasonic UF583450</t>
  </si>
  <si>
    <t>3000mAh</t>
  </si>
  <si>
    <t>3.6V</t>
  </si>
  <si>
    <t>4.2V</t>
  </si>
  <si>
    <t>50×34×5.8mm</t>
  </si>
  <si>
    <t>52</t>
  </si>
  <si>
    <t>−20…+60°C</t>
  </si>
  <si>
    <t>0…+45°C</t>
  </si>
  <si>
    <t>≥500</t>
  </si>
  <si>
    <t>NCR Li-ion</t>
  </si>
  <si>
    <t>PCM+NTC</t>
  </si>
  <si>
    <t>12.50</t>
  </si>
  <si>
    <t>uk.rs-online.com; Panasonic B&amp;I Industrial; PN: UF583450</t>
  </si>
  <si>
    <t>JST-PH 2.0mm</t>
  </si>
  <si>
    <t>★★★★★ BEST — flat, safe, industrial</t>
  </si>
  <si>
    <t>EVE INR18650-30Q (2×P)</t>
  </si>
  <si>
    <t>18.6mm dia×65.2mm (×2 in holder)</t>
  </si>
  <si>
    <t>84 (both)</t>
  </si>
  <si>
    <t>NMC Li-ion</t>
  </si>
  <si>
    <t>Built-in PTC</t>
  </si>
  <si>
    <t>8.00</t>
  </si>
  <si>
    <t>EVE Energy; available Mouser #EVE; not ideal form factor</t>
  </si>
  <si>
    <t>Spring contact</t>
  </si>
  <si>
    <t>★★★ Cylindrical — poor fit</t>
  </si>
  <si>
    <t>Samsung INR18650-35E</t>
  </si>
  <si>
    <t>18.6mm dia×65.2mm</t>
  </si>
  <si>
    <t>47 each</t>
  </si>
  <si>
    <t>NMC</t>
  </si>
  <si>
    <t>None (use BQ25892)</t>
  </si>
  <si>
    <t>9.00</t>
  </si>
  <si>
    <t>Samsung SDI; Mouser #INR18650-35E; EV/industrial grade</t>
  </si>
  <si>
    <t>Panasonic NCR18650B</t>
  </si>
  <si>
    <t>3400mAh</t>
  </si>
  <si>
    <t>3.7V</t>
  </si>
  <si>
    <t>46.5</t>
  </si>
  <si>
    <t>NCA Li-ion</t>
  </si>
  <si>
    <t>CID fuse</t>
  </si>
  <si>
    <t>9.50</t>
  </si>
  <si>
    <t>Panasonic Energy; Mouser #NCR18650B</t>
  </si>
  <si>
    <t>★★★ Good capacity — wrong shape</t>
  </si>
  <si>
    <t>LiPol Battery LP603450</t>
  </si>
  <si>
    <t>60×34×6mm</t>
  </si>
  <si>
    <t>54</t>
  </si>
  <si>
    <t>500</t>
  </si>
  <si>
    <t>LiPo</t>
  </si>
  <si>
    <t>PCM</t>
  </si>
  <si>
    <t>6.50</t>
  </si>
  <si>
    <t>lipobattery.us; LP603450; IEC62133 cert; UN38.3 cert</t>
  </si>
  <si>
    <t>★★★★ Good — verify dimensions</t>
  </si>
  <si>
    <t>LiPol Battery LP505295</t>
  </si>
  <si>
    <t>52×50×5mm</t>
  </si>
  <si>
    <t>55</t>
  </si>
  <si>
    <t>6.80</t>
  </si>
  <si>
    <t>lipobattery.us LP505295; standard pouch</t>
  </si>
  <si>
    <t>★★★★ Good fit — 52×50mm</t>
  </si>
  <si>
    <t>Custom LiPo 60×40×5mm (recommended)</t>
  </si>
  <si>
    <t>60×40×5mm</t>
  </si>
  <si>
    <t>~54</t>
  </si>
  <si>
    <t>−40…+85°C</t>
  </si>
  <si>
    <t>LiPo MIL</t>
  </si>
  <si>
    <t>PCM+NTC+PTC</t>
  </si>
  <si>
    <t>18.00</t>
  </si>
  <si>
    <t>Grepow / CTECHI custom military grade; specify MIL-STD-810; UN38.3; IEC62133</t>
  </si>
  <si>
    <t>★★★★★ IDEAL — custom fit + mil-grade temp</t>
  </si>
  <si>
    <t>Tenergy 3.7V 3000mAh Flat</t>
  </si>
  <si>
    <t>60×37×6mm</t>
  </si>
  <si>
    <t>51</t>
  </si>
  <si>
    <t>7.20</t>
  </si>
  <si>
    <t>Tenergy Corporation; available Amazon/DigiKey</t>
  </si>
  <si>
    <t>★★★★ Good commercial option</t>
  </si>
  <si>
    <t xml:space="preserve">  ▶  B  BATTERY SELECTION CRITERIA &amp; SAFETY REQUIREMENTS</t>
  </si>
  <si>
    <t>Criterion</t>
  </si>
  <si>
    <t>Specification</t>
  </si>
  <si>
    <t>Rationale / Implementation</t>
  </si>
  <si>
    <t>Type</t>
  </si>
  <si>
    <t>Voltage Range</t>
  </si>
  <si>
    <t>3.6–3.7V nominal; 4.2V fully charged; 3.0V cut-off voltage</t>
  </si>
  <si>
    <t>BQ25892 preset 4.2V charge voltage; BQ27427 monitors DoD; system shuts off at 3.0V via BQ25892 VSYS_MIN</t>
  </si>
  <si>
    <t>Compliance</t>
  </si>
  <si>
    <t>Capacity Range</t>
  </si>
  <si>
    <t>2500–3500mAh (per design constraint)</t>
  </si>
  <si>
    <t>3000mAh chosen: 3.2-year runtime with 2UL/day Class B; fits 60×40mm PCB area</t>
  </si>
  <si>
    <t>Selection</t>
  </si>
  <si>
    <t>Maximum Charge Current</t>
  </si>
  <si>
    <t>1.0A recommended (0.33C at 3000mAh)</t>
  </si>
  <si>
    <t>BQ25892 ICHG register set to 1A; below 0.5C for long cycle life; USB 9V/1A = 9W input</t>
  </si>
  <si>
    <t>Safety</t>
  </si>
  <si>
    <t>Temperature Charging</t>
  </si>
  <si>
    <t>0°C to +45°C only for charging</t>
  </si>
  <si>
    <t>BQ25892 TS pin + NTC thermistor R31 suspends charge outside range; Li-Ion CANNOT be charged below 0°C</t>
  </si>
  <si>
    <t>Critical Safety</t>
  </si>
  <si>
    <t>Temperature Operation</t>
  </si>
  <si>
    <t>−20°C to +60°C (commercial); −40°C to +60°C (military custom)</t>
  </si>
  <si>
    <t>Standard LiPo: −20°C min; Military grade (Grepow option 7): −40°C; capacity reduces ~20% at −20°C</t>
  </si>
  <si>
    <t>Environment</t>
  </si>
  <si>
    <t>Protection Required</t>
  </si>
  <si>
    <t>PCM (over-charge, over-discharge, over-current, short-circuit); NTC optional</t>
  </si>
  <si>
    <t>BQ25892 provides system-level OVP+OCP; additional PCM on cell for redundancy; critical for IP67 sealed device</t>
  </si>
  <si>
    <t>Certifications Required</t>
  </si>
  <si>
    <t>UN38.3 (transport); IEC62133-2 (safety); CE; RoHS</t>
  </si>
  <si>
    <t>UN38.3 required for air shipping; IEC62133 for product safety certification; CE for EU compliance</t>
  </si>
  <si>
    <t>Regulatory</t>
  </si>
  <si>
    <t>JST-PH 2.0mm 2-pin (standard IoT)</t>
  </si>
  <si>
    <t>Matches J2 on PCB; polarity: red=+, black=−; verify polarity before first insertion; irreversible mistake can damage BQ25892</t>
  </si>
  <si>
    <t>Mechanical</t>
  </si>
  <si>
    <t>Fast Charge Compatibility</t>
  </si>
  <si>
    <t>Must accept 1C charge rate minimum</t>
  </si>
  <si>
    <t>BQ25892 + USB-C PD provides up to 5A; limited to 1A by firmware for battery safety; QC4+ overkill but future-proof</t>
  </si>
  <si>
    <t>Performance</t>
  </si>
  <si>
    <t>COMPLETE HARDWARE INTERFACE MAP — STM32WB55CGU6 as ROOT MCU</t>
  </si>
  <si>
    <t>STM32WB55CGU6 (QFN-48): 2× SPI | 2× I2C | 2× USART/LPUART | USB FS | 38 GPIO | BLE 5.4 | 802.15.4 | All peripherals verified compatible — no interface conflicts</t>
  </si>
  <si>
    <t xml:space="preserve">  ▶  A  VERIFIED MCU PERIPHERAL INVENTORY — STM32WB55CGU6 (QFN-48 Package)</t>
  </si>
  <si>
    <t>Peripheral</t>
  </si>
  <si>
    <t>Instance</t>
  </si>
  <si>
    <t>Max Speed</t>
  </si>
  <si>
    <t>Used For</t>
  </si>
  <si>
    <t>Signals</t>
  </si>
  <si>
    <t>Pins Used</t>
  </si>
  <si>
    <t>Free?</t>
  </si>
  <si>
    <t>Mode</t>
  </si>
  <si>
    <t>SPI</t>
  </si>
  <si>
    <t>SPI1</t>
  </si>
  <si>
    <t>32Mbps CPOL0 CPHA0</t>
  </si>
  <si>
    <t>LR1120 LoRa transceiver</t>
  </si>
  <si>
    <t>MOSI,MISO,SCK,NSS</t>
  </si>
  <si>
    <t>PA7,PA6,PA5,PA4</t>
  </si>
  <si>
    <t>NO</t>
  </si>
  <si>
    <t>Full Duplex Master</t>
  </si>
  <si>
    <t>NSS software-controlled; max 16MHz practical for LR1120 SPI; CPOL=0 CPHA=0</t>
  </si>
  <si>
    <t>SPI2</t>
  </si>
  <si>
    <t>32Mbps</t>
  </si>
  <si>
    <t>PB15,PB14,PB13,PB12</t>
  </si>
  <si>
    <t>Separate SPI from LR1120; TPM max 33MHz SPI; CPOL=0 CPHA=0; never share bus with LR1120</t>
  </si>
  <si>
    <t>I2C</t>
  </si>
  <si>
    <t>I2C1</t>
  </si>
  <si>
    <t>400kHz FM+</t>
  </si>
  <si>
    <t>ISM330DLC+BQ27427+BQ25892+FUSB302 (4 devices, no addr conflict)</t>
  </si>
  <si>
    <t>SDA,SCL</t>
  </si>
  <si>
    <t>PB9,PB8</t>
  </si>
  <si>
    <t>Partial (2 slots free)</t>
  </si>
  <si>
    <t>Multi-master capable</t>
  </si>
  <si>
    <t>All 4 devices on one bus; addresses: 0x6A,0x55,0x6B,0x22; pull-ups R1+R2+R29+R30; 10kΩ||4.7kΩ=3.2kΩ</t>
  </si>
  <si>
    <t>I2C3</t>
  </si>
  <si>
    <t>Reserved (expansion via J6 Grove)</t>
  </si>
  <si>
    <t>PC1,PC0</t>
  </si>
  <si>
    <t>YES (reserved)</t>
  </si>
  <si>
    <t>Multi-master</t>
  </si>
  <si>
    <t>Available for future sensor; not populated by default; pull-up pads provided</t>
  </si>
  <si>
    <t>USART</t>
  </si>
  <si>
    <t>USART1</t>
  </si>
  <si>
    <t>115200bps</t>
  </si>
  <si>
    <t>Quectel L89H GNSS</t>
  </si>
  <si>
    <t>TX,RX</t>
  </si>
  <si>
    <t>PB6,PB7</t>
  </si>
  <si>
    <t>Async UART</t>
  </si>
  <si>
    <t>115200 8N1; UART4 alternate possible; STM32WB AF=7 for USART1 on PB6/PB7</t>
  </si>
  <si>
    <t>LPUART</t>
  </si>
  <si>
    <t>LPUART1</t>
  </si>
  <si>
    <t>Debug UART (SWD connector J3 pins 8/9)</t>
  </si>
  <si>
    <t>PA2,PA3</t>
  </si>
  <si>
    <t>Partial</t>
  </si>
  <si>
    <t>Async UART low-power</t>
  </si>
  <si>
    <t>Works in Stop2 for wakeup on UART activity; enables remote debug; disable in production firmware</t>
  </si>
  <si>
    <t>USB</t>
  </si>
  <si>
    <t>USB FS</t>
  </si>
  <si>
    <t>12Mbps</t>
  </si>
  <si>
    <t>Reserved (via J1 USB-C, D+/D-)</t>
  </si>
  <si>
    <t>D+,D-</t>
  </si>
  <si>
    <t>PA12,PA11</t>
  </si>
  <si>
    <t>Device</t>
  </si>
  <si>
    <t>USB FS not routed to J3 in default config; can be enabled for USB-CDC debug; requires 1.5kΩ pull on D+ for detection</t>
  </si>
  <si>
    <t>SAI</t>
  </si>
  <si>
    <t>SAI1</t>
  </si>
  <si>
    <t>Not used</t>
  </si>
  <si>
    <t>YES</t>
  </si>
  <si>
    <t>Available for audio if required in future; not populated</t>
  </si>
  <si>
    <t>GPIO</t>
  </si>
  <si>
    <t>38 total (QFN-48)</t>
  </si>
  <si>
    <t>LEDs,IRQs,controls</t>
  </si>
  <si>
    <t>See table B</t>
  </si>
  <si>
    <t>~8 free</t>
  </si>
  <si>
    <t>Various</t>
  </si>
  <si>
    <t>Total GPIO budget: 38 pins; 30 used; 8 spare for future</t>
  </si>
  <si>
    <t>ADC</t>
  </si>
  <si>
    <t>ADC1</t>
  </si>
  <si>
    <t>12-bit; 1Msps</t>
  </si>
  <si>
    <t>Vbatt monitor (R32/R33 divider) + NTC thermistor read</t>
  </si>
  <si>
    <t>IN channel</t>
  </si>
  <si>
    <t>PA0 (Vbat), PA1 (NTC)</t>
  </si>
  <si>
    <t>Single-shot scan</t>
  </si>
  <si>
    <t>Vbatt divider: 4.2V×0.32=1.34V; NTC 10kΩ @25°C; scan both in sequence</t>
  </si>
  <si>
    <t>TIM</t>
  </si>
  <si>
    <t>TIM1,TIM2,TIM17</t>
  </si>
  <si>
    <t>LED PWM (9 channels total for D1,D2,D3,D4)</t>
  </si>
  <si>
    <t>CH1,CH2,CH3</t>
  </si>
  <si>
    <t>PA8/PA9/PA10 + PA15/PB3/PB10 + PA5(led)</t>
  </si>
  <si>
    <t>PWM output</t>
  </si>
  <si>
    <t>TIM1 CH1-3 → D1 RGB; TIM2 CH1-2 → D3 R+G; TIM17 → D2 Green; D4 RGB shared with spare GPIO+TIM</t>
  </si>
  <si>
    <t>RTC</t>
  </si>
  <si>
    <t>32.768kHz (X2)</t>
  </si>
  <si>
    <t>Class B 12h timer; timestamp</t>
  </si>
  <si>
    <t>RTCALARM</t>
  </si>
  <si>
    <t>Alarm wakeup</t>
  </si>
  <si>
    <t>RTC alarm at T+12h wakes STM32WB from Stop2 for uplink; &lt;1µA in Stop2; accurate to ±20ppm with X2</t>
  </si>
  <si>
    <t>BLE Radio</t>
  </si>
  <si>
    <t>2.4GHz BLE 5.4</t>
  </si>
  <si>
    <t>Optional BLE for config/OTA</t>
  </si>
  <si>
    <t>ANT</t>
  </si>
  <si>
    <t>PC6 (RF switch control)</t>
  </si>
  <si>
    <t>BLE peripheral</t>
  </si>
  <si>
    <t>BLE coexists with 802.15.4; STM32WB handles coex; BLE stack on M0+ core; 3.3V matching network on ANT pin</t>
  </si>
  <si>
    <t xml:space="preserve">  ▶  B  GPIO SIGNAL ALLOCATION TABLE (ALL 38 GPIO MAPPED)</t>
  </si>
  <si>
    <t>MCU Pin</t>
  </si>
  <si>
    <t>Signal Name</t>
  </si>
  <si>
    <t>Connected To</t>
  </si>
  <si>
    <t>Direction</t>
  </si>
  <si>
    <t>Logic Level</t>
  </si>
  <si>
    <t>Pull</t>
  </si>
  <si>
    <t>IRQ/EXTI?</t>
  </si>
  <si>
    <t>PA4</t>
  </si>
  <si>
    <t>LR1120_NSS</t>
  </si>
  <si>
    <t>U2 LR1120 NSS pin 16</t>
  </si>
  <si>
    <t>Output</t>
  </si>
  <si>
    <t>3.3V CMOS</t>
  </si>
  <si>
    <t>None</t>
  </si>
  <si>
    <t>No</t>
  </si>
  <si>
    <t>SPI1 chip-select; active low; software controlled</t>
  </si>
  <si>
    <t>PA5</t>
  </si>
  <si>
    <t>SPI1_SCK</t>
  </si>
  <si>
    <t>U2 LR1120 CLK pin 15</t>
  </si>
  <si>
    <t>SPI1 clock; max 16MHz for LR1120</t>
  </si>
  <si>
    <t>PA6</t>
  </si>
  <si>
    <t>SPI1_MISO</t>
  </si>
  <si>
    <t>U2 LR1120 MISO pin 14</t>
  </si>
  <si>
    <t>Input</t>
  </si>
  <si>
    <t>SPI1 data from LR1120 to MCU</t>
  </si>
  <si>
    <t>PA7</t>
  </si>
  <si>
    <t>SPI1_MOSI</t>
  </si>
  <si>
    <t>U2 LR1120 MOSI pin 13</t>
  </si>
  <si>
    <t>SPI1 data from MCU to LR1120</t>
  </si>
  <si>
    <t>PA8</t>
  </si>
  <si>
    <t>LR1120_DIO1 (IRQ)</t>
  </si>
  <si>
    <t>U2 LR1120 DIO1 pin 22</t>
  </si>
  <si>
    <t>100kΩ PD</t>
  </si>
  <si>
    <t>YES EXTI8</t>
  </si>
  <si>
    <t>TX/RX done interrupt from LR1120; rising edge trigger</t>
  </si>
  <si>
    <t>PA9</t>
  </si>
  <si>
    <t>LR1120_BUSY</t>
  </si>
  <si>
    <t>U2 LR1120 BUSY pin 21</t>
  </si>
  <si>
    <t>Poll before SPI transaction; high=busy; 100kΩ PD via R9</t>
  </si>
  <si>
    <t>PA10</t>
  </si>
  <si>
    <t>LR1120_RESET</t>
  </si>
  <si>
    <t>U2 LR1120 RESET pin 20</t>
  </si>
  <si>
    <t>Active low; minimum pulse 100µs; MCU drives low to reset</t>
  </si>
  <si>
    <t>PA11</t>
  </si>
  <si>
    <t>USB_DM</t>
  </si>
  <si>
    <t>J1 USB-C D−</t>
  </si>
  <si>
    <t>Bidirectional</t>
  </si>
  <si>
    <t>3.3V USB</t>
  </si>
  <si>
    <t>USB FS D− (optional, reserved)</t>
  </si>
  <si>
    <t>PA12</t>
  </si>
  <si>
    <t>USB_DP</t>
  </si>
  <si>
    <t>J1 USB-C D+</t>
  </si>
  <si>
    <t>USB FS D+ (optional, 1.5kΩ pull for detection)</t>
  </si>
  <si>
    <t>PA2</t>
  </si>
  <si>
    <t>LPUART1_TX</t>
  </si>
  <si>
    <t>J3 SWD connector pin 8</t>
  </si>
  <si>
    <t>Debug UART transmit; LPUART1 AF8</t>
  </si>
  <si>
    <t>PA3</t>
  </si>
  <si>
    <t>LPUART1_RX</t>
  </si>
  <si>
    <t>J3 SWD connector pin 9</t>
  </si>
  <si>
    <t>10kΩ PU</t>
  </si>
  <si>
    <t>Debug UART receive; LPUART1 AF8</t>
  </si>
  <si>
    <t>PA0</t>
  </si>
  <si>
    <t>ADC1_VBAT</t>
  </si>
  <si>
    <t>R32/R33 voltage divider</t>
  </si>
  <si>
    <t>Analog Input</t>
  </si>
  <si>
    <t>0–3.3V analog</t>
  </si>
  <si>
    <t>Battery voltage monitoring; Vadc=Vbat×0.32</t>
  </si>
  <si>
    <t>PA1</t>
  </si>
  <si>
    <t>ADC1_NTC</t>
  </si>
  <si>
    <t>R31 NTC thermistor midpoint</t>
  </si>
  <si>
    <t>Battery temperature sense</t>
  </si>
  <si>
    <t>PB12</t>
  </si>
  <si>
    <t>TPM_NSS</t>
  </si>
  <si>
    <t>U7 SLB9670 NSS pin</t>
  </si>
  <si>
    <t>SPI2 chip-select for TPM; software controlled</t>
  </si>
  <si>
    <t>PB13</t>
  </si>
  <si>
    <t>SPI2_SCK</t>
  </si>
  <si>
    <t>U7 SLB9670 CLK pin</t>
  </si>
  <si>
    <t>SPI2 clock; TPM max 33MHz</t>
  </si>
  <si>
    <t>PB14</t>
  </si>
  <si>
    <t>SPI2_MISO</t>
  </si>
  <si>
    <t>U7 SLB9670 MISO pin</t>
  </si>
  <si>
    <t>SPI2 data from TPM to MCU</t>
  </si>
  <si>
    <t>PB15</t>
  </si>
  <si>
    <t>SPI2_MOSI</t>
  </si>
  <si>
    <t>U7 SLB9670 MOSI pin</t>
  </si>
  <si>
    <t>SPI2 data from MCU to TPM</t>
  </si>
  <si>
    <t>PA13</t>
  </si>
  <si>
    <t>TPM_RESET</t>
  </si>
  <si>
    <t>U7 SLB9670 RST pin</t>
  </si>
  <si>
    <t>Active low TPM reset; hold low 30ms for cold reset; 100kΩ PD R10 ensures reset at power-up</t>
  </si>
  <si>
    <t>PA14</t>
  </si>
  <si>
    <t>TPM_IRQ</t>
  </si>
  <si>
    <t>U7 SLB9670 IRQ pin</t>
  </si>
  <si>
    <t>YES EXTI14</t>
  </si>
  <si>
    <t>TPM interrupt request; open-drain output on SLB9670; active low</t>
  </si>
  <si>
    <t>PB8</t>
  </si>
  <si>
    <t>I2C1_SCL</t>
  </si>
  <si>
    <t>All I2C devices (shared bus)</t>
  </si>
  <si>
    <t>Bidirectional OD</t>
  </si>
  <si>
    <t>3.3V open-drain</t>
  </si>
  <si>
    <t>3.2kΩ PU</t>
  </si>
  <si>
    <t>I2C1 clock; 400kHz FM+; pull-up = R1(10kΩ)||R30(4.7kΩ)=3.2kΩ</t>
  </si>
  <si>
    <t>PB9</t>
  </si>
  <si>
    <t>I2C1_SDA</t>
  </si>
  <si>
    <t>I2C1 data; shared by ISM330DLC,BQ27427,BQ25892,FUSB302</t>
  </si>
  <si>
    <t>PB6</t>
  </si>
  <si>
    <t>USART1_TX</t>
  </si>
  <si>
    <t>U3 L89H GNSS RXD pin</t>
  </si>
  <si>
    <t>MCU → GNSS; USART1 AF7; 115200 8N1</t>
  </si>
  <si>
    <t>PB7</t>
  </si>
  <si>
    <t>USART1_RX</t>
  </si>
  <si>
    <t>U3 L89H GNSS TXD pin</t>
  </si>
  <si>
    <t>GNSS → MCU; USART1 AF7</t>
  </si>
  <si>
    <t>PB0</t>
  </si>
  <si>
    <t>L89H_1PPS</t>
  </si>
  <si>
    <t>U3 L89H 1PPS output pin</t>
  </si>
  <si>
    <t>1.8V (level shift!)</t>
  </si>
  <si>
    <t>YES EXTI0</t>
  </si>
  <si>
    <t>1PPS pulse for Class B timing; NOTE: L89H outputs 1.8V — add voltage level shifter or use VDDIO = 1.8V on U3 IO pins</t>
  </si>
  <si>
    <t>PB1</t>
  </si>
  <si>
    <t>L89H_RESET</t>
  </si>
  <si>
    <t>U3 L89H RESET pin</t>
  </si>
  <si>
    <t>Active low; minimum 100ms pulse for hardware reset of GNSS</t>
  </si>
  <si>
    <t>PC0</t>
  </si>
  <si>
    <t>IMU_INT1</t>
  </si>
  <si>
    <t>U4 ISM330DLC INT1 pin</t>
  </si>
  <si>
    <t>Sharp acceleration wakeup; configure activity threshold in ISM330DLC; EXTI falling edge wakes MCU from Stop2</t>
  </si>
  <si>
    <t>PC1</t>
  </si>
  <si>
    <t>FG_GPOUT</t>
  </si>
  <si>
    <t>U12 BQ27427 GPOUT pin</t>
  </si>
  <si>
    <t>YES EXTI1</t>
  </si>
  <si>
    <t>Fuel gauge alert at 5% SoC; triggers D1 critical red blink pattern</t>
  </si>
  <si>
    <t>PC2</t>
  </si>
  <si>
    <t>CHG_INT</t>
  </si>
  <si>
    <t>U10 BQ25892 INT pin</t>
  </si>
  <si>
    <t>YES EXTI2</t>
  </si>
  <si>
    <t>Charger interrupt; fault, done, DPM events; open-drain active low</t>
  </si>
  <si>
    <t>PC3</t>
  </si>
  <si>
    <t>FUSB_INT</t>
  </si>
  <si>
    <t>U11 FUSB302 INT pin</t>
  </si>
  <si>
    <t>YES EXTI3</t>
  </si>
  <si>
    <t>USB-PD event interrupt; CC change, contract, fault; open-drain active low</t>
  </si>
  <si>
    <t>PC4</t>
  </si>
  <si>
    <t>SW1_BUTTON</t>
  </si>
  <si>
    <t>SW1 IP67 pushbutton</t>
  </si>
  <si>
    <t>10kΩ PU R26</t>
  </si>
  <si>
    <t>YES EXTI4</t>
  </si>
  <si>
    <t>Single button; falling edge EXTI; firmware timer: ≥6s=power, &lt;500ms×2=SOS</t>
  </si>
  <si>
    <t>PC5</t>
  </si>
  <si>
    <t>LR1120_DIO2 (PA_EN)</t>
  </si>
  <si>
    <t>U5 SE2435L CSD pin</t>
  </si>
  <si>
    <t>PA enable control; high=PA enabled for 27dBm; low=bypass ≤22dBm</t>
  </si>
  <si>
    <t>PC6</t>
  </si>
  <si>
    <t>LR1120_DIO3 (SW1_CTRL)</t>
  </si>
  <si>
    <t>U6 SKY13585 V1 pin</t>
  </si>
  <si>
    <t>RF switch control line 1; LR1120 controls directly via DIO3 pin</t>
  </si>
  <si>
    <t>PC7</t>
  </si>
  <si>
    <t>BLE_ANT_CTRL</t>
  </si>
  <si>
    <t>LR1120 2.4GHz and STM32WB BLE antenna switch</t>
  </si>
  <si>
    <t>Selects BLE or 2.4GHz LoRa on shared antenna; high=LR1120 2.4G, low=BLE</t>
  </si>
  <si>
    <t>PA15</t>
  </si>
  <si>
    <t>LED_D1_RED</t>
  </si>
  <si>
    <t>D1 RGB Red; via R13 330Ω</t>
  </si>
  <si>
    <t>Output PWM</t>
  </si>
  <si>
    <t>TIM2_CH1 PWM; 10% duty for 'solid' states = 0.39mA; 100% for alerts</t>
  </si>
  <si>
    <t>PB3</t>
  </si>
  <si>
    <t>LED_D1_GREEN</t>
  </si>
  <si>
    <t>D1 RGB Green; via R14 330Ω</t>
  </si>
  <si>
    <t>TIM2_CH2 PWM</t>
  </si>
  <si>
    <t>PB4</t>
  </si>
  <si>
    <t>LED_D1_BLUE</t>
  </si>
  <si>
    <t>D1 RGB Blue; via R15 330Ω</t>
  </si>
  <si>
    <t>TIM2_CH3 PWM; Blue Vf=3.2V → If=(3.3-3.2)/330=0.3mA; use 150Ω for adequate brightness</t>
  </si>
  <si>
    <t>PB5</t>
  </si>
  <si>
    <t>LED_D2_GREEN</t>
  </si>
  <si>
    <t>D2 GNSS Green; via R16 330Ω</t>
  </si>
  <si>
    <t>TIM17_CH1 PWM; GNSS fix indicator</t>
  </si>
  <si>
    <t>PC8</t>
  </si>
  <si>
    <t>LED_D3_RED</t>
  </si>
  <si>
    <t>D3 LR-FHSS R; via R17 330Ω</t>
  </si>
  <si>
    <t>GPIO toggle for 100ms TX flash; no PWM needed</t>
  </si>
  <si>
    <t>PC9</t>
  </si>
  <si>
    <t>LED_D3_GREEN</t>
  </si>
  <si>
    <t>D3 LoRa G; via R18 330Ω</t>
  </si>
  <si>
    <t>GPIO toggle for 100ms TX flash; green=LoRaWAN, red=LR-FHSS</t>
  </si>
  <si>
    <t>PC10</t>
  </si>
  <si>
    <t>LED_D4_RED</t>
  </si>
  <si>
    <t>D4 RSSI RGB Red; via R19</t>
  </si>
  <si>
    <t>TIM1_CH1 PWM</t>
  </si>
  <si>
    <t>PC11</t>
  </si>
  <si>
    <t>LED_D4_GREEN</t>
  </si>
  <si>
    <t>D4 RSSI RGB Green; via R20</t>
  </si>
  <si>
    <t>TIM1_CH2 PWM</t>
  </si>
  <si>
    <t>PC12</t>
  </si>
  <si>
    <t>LED_D4_BLUE</t>
  </si>
  <si>
    <t>D4 RSSI RGB Blue; via R21</t>
  </si>
  <si>
    <t>TIM1_CH3 PWM</t>
  </si>
  <si>
    <t>PD0</t>
  </si>
  <si>
    <t>TCXO_EN</t>
  </si>
  <si>
    <t>Not needed (TCXO always on); used for future</t>
  </si>
  <si>
    <t>TCXO_CTRL connected to LR1120 DIO5 directly; MCU not in loop</t>
  </si>
  <si>
    <t>SPARE (6 remaining)</t>
  </si>
  <si>
    <t>Not connected</t>
  </si>
  <si>
    <t>~6 GPIO available for expansion; verify QFN-48 pinout for actual availability</t>
  </si>
  <si>
    <t xml:space="preserve">  ▶  C  I2C BUS ADDRESS MAP (I2C1 — No Address Conflicts Verified)</t>
  </si>
  <si>
    <t>7-bit Address</t>
  </si>
  <si>
    <t>8-bit W Addr</t>
  </si>
  <si>
    <t>8-bit R Addr</t>
  </si>
  <si>
    <t>SA0/ADDR pin setting</t>
  </si>
  <si>
    <t>Int/Alert Pin</t>
  </si>
  <si>
    <t>ISM330DLC IMU</t>
  </si>
  <si>
    <t>0x6A</t>
  </si>
  <si>
    <t>0xD4</t>
  </si>
  <si>
    <t>0xD5</t>
  </si>
  <si>
    <t>SA0=GND (R38 0Ω to GND)</t>
  </si>
  <si>
    <t>400kHz</t>
  </si>
  <si>
    <t>INT1→PC0 (EXTI)</t>
  </si>
  <si>
    <t>VDDIO=3.3V; alternate addr 0x6B (SA0=VDD) — CONFLICTS with BQ25892; keep at 0x6A</t>
  </si>
  <si>
    <t>0x55</t>
  </si>
  <si>
    <t>0xAA</t>
  </si>
  <si>
    <t>0xAB</t>
  </si>
  <si>
    <t>Fixed (no config pin)</t>
  </si>
  <si>
    <t>GPOUT→PC1 (EXTI)</t>
  </si>
  <si>
    <t>No address conflict; unique 0x55; wake from sleep auto on I2C access</t>
  </si>
  <si>
    <t>BQ25892 Fast Charger</t>
  </si>
  <si>
    <t>0x6B</t>
  </si>
  <si>
    <t>0xD6</t>
  </si>
  <si>
    <t>0xD7</t>
  </si>
  <si>
    <t>INT→PC2 (EXTI)</t>
  </si>
  <si>
    <t>IMPORTANT: 0x6B conflicts with ISM330DLC if SA0=VDD; confirm ISM330DLC SA0=GND=0x6A</t>
  </si>
  <si>
    <t>FUSB302 USB-PD</t>
  </si>
  <si>
    <t>0x22</t>
  </si>
  <si>
    <t>0x44</t>
  </si>
  <si>
    <t>0x45</t>
  </si>
  <si>
    <t>INT→PC3 (EXTI)</t>
  </si>
  <si>
    <t>Unique 0x22; no conflict; I2C timeout: FUSB302 needs ACK within 1ms of INT assert</t>
  </si>
  <si>
    <t xml:space="preserve">  ▶  D  POWER DISTRIBUTION ARCHITECTURE (Text Diagram)</t>
  </si>
  <si>
    <t>Stage 1</t>
  </si>
  <si>
    <t>Stage 2</t>
  </si>
  <si>
    <t>Stage 3</t>
  </si>
  <si>
    <t>Stage 4</t>
  </si>
  <si>
    <t>Stage 5</t>
  </si>
  <si>
    <t>Stage 6</t>
  </si>
  <si>
    <t>Stage 7</t>
  </si>
  <si>
    <t>Stage 8</t>
  </si>
  <si>
    <t>Stage 9</t>
  </si>
  <si>
    <t>Stage 10</t>
  </si>
  <si>
    <t>USB-C J1 (5–9V VBUS)</t>
  </si>
  <si>
    <t>→ F1 Polyfuse 500mA</t>
  </si>
  <si>
    <t>→ BQ25892 VBUS input (U10)</t>
  </si>
  <si>
    <t>Entry point; FUSB302 negotiates voltage</t>
  </si>
  <si>
    <t>Battery J2 (3.0–4.2V)</t>
  </si>
  <si>
    <t>→ D5 Schottky (reverse protect)</t>
  </si>
  <si>
    <t>→ BQ25892 BAT pin</t>
  </si>
  <si>
    <t>Battery powers system when USB absent</t>
  </si>
  <si>
    <t>BQ25892 SYS output</t>
  </si>
  <si>
    <t>→ TPS62740 Buck (U8) Vin</t>
  </si>
  <si>
    <t>VSYS=3.5V min (DPM); feeds main buck</t>
  </si>
  <si>
    <t>TPS62740 Buck Vout 3.3V</t>
  </si>
  <si>
    <t>→ STM32WB55 VDD</t>
  </si>
  <si>
    <t>→ LR1120 VBAT</t>
  </si>
  <si>
    <t>→ SE2435L VCC</t>
  </si>
  <si>
    <t>→ SKY13585 VDD</t>
  </si>
  <si>
    <t>→ SLB9670 VCC</t>
  </si>
  <si>
    <t>→ ISM330DLC VDD</t>
  </si>
  <si>
    <t>→ BQ25892 VCC</t>
  </si>
  <si>
    <t>→ FUSB302 VDD</t>
  </si>
  <si>
    <t>→ All LEDs</t>
  </si>
  <si>
    <t>MAIN 3.3V rail; FB1-FB4 ferrite isolation</t>
  </si>
  <si>
    <t>LP5907 LDO Vout 3.3V clean</t>
  </si>
  <si>
    <t>→ L89H GNSS VCC</t>
  </si>
  <si>
    <t>→ LR1120 Vdd_rf</t>
  </si>
  <si>
    <t>Dedicated ultra-clean 3.3V; PSRR 72dB; no switching noise</t>
  </si>
  <si>
    <t>BQ25892 → BQ27427</t>
  </si>
  <si>
    <t>Battery measurement path</t>
  </si>
  <si>
    <t>Coulomb counter on BAT pin</t>
  </si>
  <si>
    <t>→ I2C to MCU</t>
  </si>
  <si>
    <t>FG always connected to battery terminal</t>
  </si>
  <si>
    <t>BQ25892 CHG output</t>
  </si>
  <si>
    <t>→ Battery J2 +</t>
  </si>
  <si>
    <t>→ NTC thermistor R31 feedback</t>
  </si>
  <si>
    <t>→ TS pin for temp guard</t>
  </si>
  <si>
    <t>Controlled charge; 1A limit; 0°C/45°C guard</t>
  </si>
  <si>
    <t>MECHANICAL &amp; WEIGHT ANALYSIS v3</t>
  </si>
  <si>
    <t>Target: 70×90×12mm | Net Weight &lt; 140g | IP67 | 4-Layer FR4 | FIX6: PASS/FAIL formula corrected</t>
  </si>
  <si>
    <t xml:space="preserve">  ▶  A  ENCLOSURE DIMENSIONS &amp; STACK VERIFICATION</t>
  </si>
  <si>
    <t>External Length (X)</t>
  </si>
  <si>
    <t>mm</t>
  </si>
  <si>
    <t>User-specified; long axis of 70×90mm form factor</t>
  </si>
  <si>
    <t>External Width (Y)</t>
  </si>
  <si>
    <t>User-specified; short axis</t>
  </si>
  <si>
    <t>External Height (Z / Thickness)</t>
  </si>
  <si>
    <t>Total assembled height; critical dimension</t>
  </si>
  <si>
    <t>Enclosure Wall Thickness</t>
  </si>
  <si>
    <t>ABS injection mould; 1.5mm minimum for IP67 rigidity</t>
  </si>
  <si>
    <t>PCB Length (X − 2×wall)</t>
  </si>
  <si>
    <t>90-3=87mm; PCB usable length after walls</t>
  </si>
  <si>
    <t>PCB Width (Y − 2×wall)</t>
  </si>
  <si>
    <t>70-3=67mm; PCB usable width after walls</t>
  </si>
  <si>
    <t>PCB Thickness</t>
  </si>
  <si>
    <t>Standard FR4 4-layer; ±0.16mm tolerance</t>
  </si>
  <si>
    <t>Tallest SMD Component (top)</t>
  </si>
  <si>
    <t>L89H module 17×15×2.4mm; verified as max height</t>
  </si>
  <si>
    <t>Bottom SMD max height</t>
  </si>
  <si>
    <t>Bottom-side 0603 capacitors/resistors max 1.2mm</t>
  </si>
  <si>
    <t>Battery Height (3000mAh LiPo)</t>
  </si>
  <si>
    <t>Typical 3000mAh 60×40mm cell; verify with selected cell</t>
  </si>
  <si>
    <t>Battery Length</t>
  </si>
  <si>
    <t>Fits within PCB length 87mm</t>
  </si>
  <si>
    <t>Battery Width</t>
  </si>
  <si>
    <t>Fits within PCB width 67mm</t>
  </si>
  <si>
    <t>PCB-to-Battery Foam Pad</t>
  </si>
  <si>
    <t>EVA foam vibration/thermal isolation</t>
  </si>
  <si>
    <t>Internal Usable Height (Z−2×wall)</t>
  </si>
  <si>
    <t>12-3=9mm internal envelope height</t>
  </si>
  <si>
    <t>STACK HEIGHT: PCB+top_SMD+foam+battery</t>
  </si>
  <si>
    <t>PCB(1.6)+tallest_SMD(2.4)+foam(0.3)+battery(4.8)=9.1mm</t>
  </si>
  <si>
    <t>STACK FIT CHECK</t>
  </si>
  <si>
    <t>MUST be ≤ internal height B17 (9mm); result 9.1mm is marginal — use 0.2mm foam instead</t>
  </si>
  <si>
    <t>IP67 O-ring perimeter</t>
  </si>
  <si>
    <t>2x(90+70)=320mm; silicone o-ring path length</t>
  </si>
  <si>
    <t>Mounting Hole Diameter (M3)</t>
  </si>
  <si>
    <t>4× corners; M3 brass inserts; countersunk M3×6</t>
  </si>
  <si>
    <t>Corner Radius External</t>
  </si>
  <si>
    <t>Ergonomic; injection mould standard 3mm min</t>
  </si>
  <si>
    <t xml:space="preserve">  ▶  B  COMPONENT WEIGHT BREAKDOWN</t>
  </si>
  <si>
    <t>Unit Weight (g)</t>
  </si>
  <si>
    <t>Subtotal (g)</t>
  </si>
  <si>
    <t>Material</t>
  </si>
  <si>
    <t>Dimensions</t>
  </si>
  <si>
    <t>PCB Substrate (FR4 4L, Cu)</t>
  </si>
  <si>
    <t>FR4+Cu</t>
  </si>
  <si>
    <t>87×67×1.6mm</t>
  </si>
  <si>
    <t>PCB</t>
  </si>
  <si>
    <t>FR4 density 1.85 g/cm³ + Cu layers add ~0.25; total 2.10 effective</t>
  </si>
  <si>
    <t>STM32WB55CGU6</t>
  </si>
  <si>
    <t>Si/Epoxy QFN</t>
  </si>
  <si>
    <t>7×7×0.85mm</t>
  </si>
  <si>
    <t>IC</t>
  </si>
  <si>
    <t>QFN-48; includes mold compound</t>
  </si>
  <si>
    <t>Semtech LR1120</t>
  </si>
  <si>
    <t>5×5×0.85mm</t>
  </si>
  <si>
    <t>QFN-32</t>
  </si>
  <si>
    <t>Module+Shield</t>
  </si>
  <si>
    <t>17×15×2.4mm</t>
  </si>
  <si>
    <t>LCC-52 with metal shield</t>
  </si>
  <si>
    <t>Si/Epoxy LGA</t>
  </si>
  <si>
    <t>2.5×3×0.83mm</t>
  </si>
  <si>
    <t>LGA-14</t>
  </si>
  <si>
    <t>SE2435L PA FEM</t>
  </si>
  <si>
    <t>3×3×0.85mm</t>
  </si>
  <si>
    <t>QFN-12</t>
  </si>
  <si>
    <t>SKY13585 RF Switch</t>
  </si>
  <si>
    <t>Silicon SOT</t>
  </si>
  <si>
    <t>2.9×1.6×1.1mm</t>
  </si>
  <si>
    <t>SOT-26</t>
  </si>
  <si>
    <t>6×6×0.85mm</t>
  </si>
  <si>
    <t>QFN-32 security chip</t>
  </si>
  <si>
    <t>TPS62740 Buck + LP5907 LDO</t>
  </si>
  <si>
    <t>Si WSON/SOT</t>
  </si>
  <si>
    <t>2×2+2.9×1.6mm</t>
  </si>
  <si>
    <t>2 power ICs combined</t>
  </si>
  <si>
    <t>BQ25892 Charger + FUSB302</t>
  </si>
  <si>
    <t>Si WQFN/QFN</t>
  </si>
  <si>
    <t>3.5×4+3×3mm</t>
  </si>
  <si>
    <t>2 charging ICs combined</t>
  </si>
  <si>
    <t>Si DSBGA</t>
  </si>
  <si>
    <t>1.6×1.5mm</t>
  </si>
  <si>
    <t>tiny BGA</t>
  </si>
  <si>
    <t>Quartz/TCXO</t>
  </si>
  <si>
    <t>2.0×1.6mm SMD</t>
  </si>
  <si>
    <t>Crystal</t>
  </si>
  <si>
    <t>Replaces 2 crystals</t>
  </si>
  <si>
    <t>LSE 32.768kHz Crystal</t>
  </si>
  <si>
    <t>Quartz</t>
  </si>
  <si>
    <t>1.6×1.0mm</t>
  </si>
  <si>
    <t>RTC only</t>
  </si>
  <si>
    <t>MLCC Capacitors ~65pcs</t>
  </si>
  <si>
    <t>Ceramic</t>
  </si>
  <si>
    <t>0402/0603/0805</t>
  </si>
  <si>
    <t>Passives</t>
  </si>
  <si>
    <t>8mg each avg</t>
  </si>
  <si>
    <t>Resistors ~40pcs</t>
  </si>
  <si>
    <t>Thick Film</t>
  </si>
  <si>
    <t>0402 mix</t>
  </si>
  <si>
    <t>4mg each avg</t>
  </si>
  <si>
    <t>Inductors+Ferrite Beads ~17pcs</t>
  </si>
  <si>
    <t>Ferrite/Wire</t>
  </si>
  <si>
    <t>0402/0603 mix</t>
  </si>
  <si>
    <t>18mg avg</t>
  </si>
  <si>
    <t>TVS/ESD/Diodes ~6pcs</t>
  </si>
  <si>
    <t>Silicon</t>
  </si>
  <si>
    <t>SOT/SOT363</t>
  </si>
  <si>
    <t>20mg avg</t>
  </si>
  <si>
    <t>Polyfuse F1</t>
  </si>
  <si>
    <t>PPTC</t>
  </si>
  <si>
    <t>1812 SMD</t>
  </si>
  <si>
    <t>self-resetting</t>
  </si>
  <si>
    <t>USB-C Connector J1</t>
  </si>
  <si>
    <t>Brass/Nylon</t>
  </si>
  <si>
    <t>8.9×4.7mm</t>
  </si>
  <si>
    <t>SMT vertical</t>
  </si>
  <si>
    <t>JST-PH Battery Connector J2</t>
  </si>
  <si>
    <t>Nylon/Brass</t>
  </si>
  <si>
    <t>2-pin 2.0mm</t>
  </si>
  <si>
    <t>PH series</t>
  </si>
  <si>
    <t>SWD Debug Header J3</t>
  </si>
  <si>
    <t>Brass/PBT</t>
  </si>
  <si>
    <t>10-pin 1.27mm</t>
  </si>
  <si>
    <t>removable prod</t>
  </si>
  <si>
    <t>u.FL RF Connectors J4+J5</t>
  </si>
  <si>
    <t>Brass</t>
  </si>
  <si>
    <t>3.0×3.0mm</t>
  </si>
  <si>
    <t>LoRa+GNSS</t>
  </si>
  <si>
    <t>IP67 Button SW1</t>
  </si>
  <si>
    <t>SS/Nylon IP67</t>
  </si>
  <si>
    <t>8×8mm SMD</t>
  </si>
  <si>
    <t>Switch</t>
  </si>
  <si>
    <t>Single button</t>
  </si>
  <si>
    <t>LEDs D1+D2+D3+D4 total 6pcs</t>
  </si>
  <si>
    <t>LED/Epoxy</t>
  </si>
  <si>
    <t>0606+0603</t>
  </si>
  <si>
    <t>LED</t>
  </si>
  <si>
    <t>4-LED indicator system</t>
  </si>
  <si>
    <t>SAC305 Solder (all joints)</t>
  </si>
  <si>
    <t>SnAgCu</t>
  </si>
  <si>
    <t>Reflow SMT</t>
  </si>
  <si>
    <t>Process</t>
  </si>
  <si>
    <t>all SMD pads est.</t>
  </si>
  <si>
    <t>PCB Conformal Coating IP67</t>
  </si>
  <si>
    <t>Acrylic/Silicone</t>
  </si>
  <si>
    <t>70µm avg</t>
  </si>
  <si>
    <t>full board</t>
  </si>
  <si>
    <t>Li-Po 3000mAh Cell</t>
  </si>
  <si>
    <t>Li-Polymer</t>
  </si>
  <si>
    <t>~60×40×4.8mm</t>
  </si>
  <si>
    <t>Battery</t>
  </si>
  <si>
    <t>nominal weight</t>
  </si>
  <si>
    <t>Battery Leads+JST Plug</t>
  </si>
  <si>
    <t>Cu/PVC+Nylon</t>
  </si>
  <si>
    <t>~80mm 26AWG</t>
  </si>
  <si>
    <t>wiring harness</t>
  </si>
  <si>
    <t>ABS Top Shell</t>
  </si>
  <si>
    <t>1</t>
  </si>
  <si>
    <t>ABS Plastic</t>
  </si>
  <si>
    <t>90×70×12mm</t>
  </si>
  <si>
    <t>Enclosure</t>
  </si>
  <si>
    <t>22% fill factor</t>
  </si>
  <si>
    <t>ABS Bottom Shell</t>
  </si>
  <si>
    <t>90×70 bottom</t>
  </si>
  <si>
    <t>18% fill</t>
  </si>
  <si>
    <t>Silicone O-ring Gasket</t>
  </si>
  <si>
    <t>Silicone</t>
  </si>
  <si>
    <t>~320mm perimeter</t>
  </si>
  <si>
    <t>IP67 seal ring</t>
  </si>
  <si>
    <t>M3 SS Screws×4 + brass inserts</t>
  </si>
  <si>
    <t>Stainless</t>
  </si>
  <si>
    <t>M3×6mm CSK</t>
  </si>
  <si>
    <t>assembly hardware</t>
  </si>
  <si>
    <t>EVA Foam Pad PCB-battery</t>
  </si>
  <si>
    <t>EVA Foam</t>
  </si>
  <si>
    <t>40×60×0.3mm</t>
  </si>
  <si>
    <t>thin for stack fit</t>
  </si>
  <si>
    <t xml:space="preserve">  ▶  C  WEIGHT SUMMARY — PASS/FAIL (FIX 6: target−calculated; positive=PASS)</t>
  </si>
  <si>
    <t>CALCULATED TOTAL WEIGHT</t>
  </si>
  <si>
    <t>grams</t>
  </si>
  <si>
    <t>Sum of all component subtotals; expected ~113g</t>
  </si>
  <si>
    <t>TARGET WEIGHT LIMIT</t>
  </si>
  <si>
    <t>User-specified HARD limit: net weight &lt; 140g</t>
  </si>
  <si>
    <t>WEIGHT MARGIN (TARGET − CALCULATED)</t>
  </si>
  <si>
    <t>FIX6: POSITIVE value = weight is UNDER the 140g limit = PASS. Formula: =B_limit − B_calculated</t>
  </si>
  <si>
    <t>PASS / FAIL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</si>
</sst>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.00"/>
    <numFmt numFmtId="165" formatCode="0.0000"/>
    <numFmt numFmtId="166" formatCode="0.000"/>
    <numFmt numFmtId="167" formatCode="0.0%"/>
    <numFmt numFmtId="168" formatCode="#,##0.0"/>
    <numFmt numFmtId="169" formatCode="0.0"/>
  </numFmts>
  <fonts count="25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FFFFFF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sz val="8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9.0"/>
      <color rgb="FF000000"/>
      <name val="Arial"/>
    </font>
    <font>
      <b/>
      <sz val="9.0"/>
      <color rgb="FF00008B"/>
      <name val="Arial"/>
    </font>
    <font>
      <sz val="8.0"/>
      <color rgb="FF000000"/>
      <name val="Arial"/>
    </font>
    <font>
      <sz val="9.0"/>
      <color rgb="FF000000"/>
      <name val="Arial"/>
    </font>
    <font>
      <b/>
      <sz val="9.0"/>
      <color rgb="FF555555"/>
      <name val="Arial"/>
    </font>
    <font>
      <b/>
      <sz val="10.0"/>
      <color rgb="FF000000"/>
      <name val="Arial"/>
    </font>
    <font>
      <b/>
      <sz val="11.0"/>
      <color rgb="FF1E5631"/>
      <name val="Arial"/>
    </font>
    <font>
      <b/>
      <sz val="10.0"/>
      <color theme="1"/>
      <name val="Arial"/>
    </font>
    <font>
      <b/>
      <sz val="12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11.0"/>
      <color rgb="FF000000"/>
      <name val="Arial"/>
    </font>
    <font>
      <b/>
      <sz val="13.0"/>
      <color rgb="FF1A3A5C"/>
      <name val="Arial"/>
    </font>
    <font>
      <b/>
      <sz val="13.0"/>
      <color rgb="FF8B0000"/>
      <name val="Arial"/>
    </font>
    <font>
      <b/>
      <sz val="13.0"/>
      <color rgb="FF1E563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E8F4FD"/>
        <bgColor rgb="FFE8F4FD"/>
      </patternFill>
    </fill>
    <fill>
      <patternFill patternType="solid">
        <fgColor rgb="FF1E5631"/>
        <bgColor rgb="FF1E5631"/>
      </patternFill>
    </fill>
    <fill>
      <patternFill patternType="solid">
        <fgColor rgb="FF2E8B4A"/>
        <bgColor rgb="FF2E8B4A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D6E4F0"/>
        <bgColor rgb="FFD6E4F0"/>
      </patternFill>
    </fill>
    <fill>
      <patternFill patternType="solid">
        <fgColor rgb="FFA0522D"/>
        <bgColor rgb="FFA0522D"/>
      </patternFill>
    </fill>
    <fill>
      <patternFill patternType="solid">
        <fgColor rgb="FFFFE8CC"/>
        <bgColor rgb="FFFFE8CC"/>
      </patternFill>
    </fill>
    <fill>
      <patternFill patternType="solid">
        <fgColor rgb="FF5D3A1A"/>
        <bgColor rgb="FF5D3A1A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left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4" fillId="4" fontId="6" numFmtId="164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horizontal="left" shrinkToFit="0" vertical="center" wrapText="0"/>
    </xf>
    <xf borderId="4" fillId="5" fontId="6" numFmtId="0" xfId="0" applyAlignment="1" applyBorder="1" applyFont="1">
      <alignment horizontal="left" shrinkToFit="0" vertical="center" wrapText="1"/>
    </xf>
    <xf borderId="4" fillId="5" fontId="6" numFmtId="164" xfId="0" applyAlignment="1" applyBorder="1" applyFont="1" applyNumberFormat="1">
      <alignment horizontal="center" shrinkToFit="0" vertical="center" wrapText="0"/>
    </xf>
    <xf borderId="1" fillId="2" fontId="7" numFmtId="0" xfId="0" applyAlignment="1" applyBorder="1" applyFont="1">
      <alignment horizontal="right" shrinkToFit="0" vertical="center" wrapText="0"/>
    </xf>
    <xf borderId="4" fillId="2" fontId="7" numFmtId="164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7" fontId="3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ont="1">
      <alignment horizontal="left" shrinkToFit="0" vertical="center" wrapText="0"/>
    </xf>
    <xf borderId="4" fillId="7" fontId="4" numFmtId="0" xfId="0" applyAlignment="1" applyBorder="1" applyFont="1">
      <alignment horizontal="center" shrinkToFit="0" vertical="center" wrapText="1"/>
    </xf>
    <xf borderId="4" fillId="8" fontId="9" numFmtId="0" xfId="0" applyAlignment="1" applyBorder="1" applyFill="1" applyFont="1">
      <alignment horizontal="left" shrinkToFit="0" vertical="center" wrapText="0"/>
    </xf>
    <xf borderId="4" fillId="9" fontId="10" numFmtId="0" xfId="0" applyAlignment="1" applyBorder="1" applyFill="1" applyFont="1">
      <alignment horizontal="center" shrinkToFit="0" vertical="center" wrapText="0"/>
    </xf>
    <xf borderId="4" fillId="5" fontId="11" numFmtId="0" xfId="0" applyAlignment="1" applyBorder="1" applyFont="1">
      <alignment horizontal="center" shrinkToFit="0" vertical="center" wrapText="0"/>
    </xf>
    <xf borderId="4" fillId="4" fontId="11" numFmtId="0" xfId="0" applyAlignment="1" applyBorder="1" applyFont="1">
      <alignment horizontal="left" shrinkToFit="0" vertical="center" wrapText="1"/>
    </xf>
    <xf borderId="5" fillId="4" fontId="8" numFmtId="0" xfId="0" applyAlignment="1" applyBorder="1" applyFont="1">
      <alignment shrinkToFit="0" vertical="bottom" wrapText="0"/>
    </xf>
    <xf borderId="4" fillId="9" fontId="10" numFmtId="9" xfId="0" applyAlignment="1" applyBorder="1" applyFont="1" applyNumberFormat="1">
      <alignment horizontal="center" shrinkToFit="0" vertical="center" wrapText="0"/>
    </xf>
    <xf borderId="4" fillId="9" fontId="10" numFmtId="2" xfId="0" applyAlignment="1" applyBorder="1" applyFont="1" applyNumberFormat="1">
      <alignment horizontal="center" shrinkToFit="0" vertical="center" wrapText="0"/>
    </xf>
    <xf borderId="4" fillId="9" fontId="10" numFmtId="165" xfId="0" applyAlignment="1" applyBorder="1" applyFont="1" applyNumberFormat="1">
      <alignment horizontal="center" shrinkToFit="0" vertical="center" wrapText="0"/>
    </xf>
    <xf borderId="4" fillId="8" fontId="12" numFmtId="0" xfId="0" applyAlignment="1" applyBorder="1" applyFont="1">
      <alignment horizontal="left" shrinkToFit="0" vertical="center" wrapText="0"/>
    </xf>
    <xf borderId="4" fillId="8" fontId="13" numFmtId="0" xfId="0" applyAlignment="1" applyBorder="1" applyFont="1">
      <alignment horizontal="center" shrinkToFit="0" vertical="center" wrapText="0"/>
    </xf>
    <xf borderId="4" fillId="5" fontId="11" numFmtId="0" xfId="0" applyAlignment="1" applyBorder="1" applyFont="1">
      <alignment horizontal="left" shrinkToFit="0" vertical="center" wrapText="0"/>
    </xf>
    <xf borderId="4" fillId="5" fontId="6" numFmtId="165" xfId="0" applyAlignment="1" applyBorder="1" applyFont="1" applyNumberFormat="1">
      <alignment horizontal="center" shrinkToFit="0" vertical="center" wrapText="0"/>
    </xf>
    <xf borderId="4" fillId="5" fontId="11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left" shrinkToFit="0" vertical="center" wrapText="0"/>
    </xf>
    <xf borderId="4" fillId="4" fontId="6" numFmtId="165" xfId="0" applyAlignment="1" applyBorder="1" applyFont="1" applyNumberFormat="1">
      <alignment horizontal="center" shrinkToFit="0" vertical="center" wrapText="0"/>
    </xf>
    <xf borderId="4" fillId="10" fontId="14" numFmtId="0" xfId="0" applyAlignment="1" applyBorder="1" applyFill="1" applyFont="1">
      <alignment horizontal="left" shrinkToFit="0" vertical="center" wrapText="0"/>
    </xf>
    <xf borderId="4" fillId="10" fontId="15" numFmtId="165" xfId="0" applyAlignment="1" applyBorder="1" applyFont="1" applyNumberFormat="1">
      <alignment horizontal="center" shrinkToFit="0" vertical="center" wrapText="0"/>
    </xf>
    <xf borderId="4" fillId="10" fontId="9" numFmtId="0" xfId="0" applyAlignment="1" applyBorder="1" applyFont="1">
      <alignment horizontal="center" shrinkToFit="0" vertical="center" wrapText="0"/>
    </xf>
    <xf borderId="4" fillId="10" fontId="12" numFmtId="0" xfId="0" applyAlignment="1" applyBorder="1" applyFont="1">
      <alignment horizontal="left" shrinkToFit="0" vertical="center" wrapText="1"/>
    </xf>
    <xf borderId="4" fillId="10" fontId="15" numFmtId="166" xfId="0" applyAlignment="1" applyBorder="1" applyFont="1" applyNumberFormat="1">
      <alignment horizontal="center" shrinkToFit="0" vertical="center" wrapText="0"/>
    </xf>
    <xf borderId="4" fillId="5" fontId="6" numFmtId="166" xfId="0" applyAlignment="1" applyBorder="1" applyFont="1" applyNumberFormat="1">
      <alignment horizontal="center" shrinkToFit="0" vertical="center" wrapText="0"/>
    </xf>
    <xf borderId="4" fillId="5" fontId="6" numFmtId="167" xfId="0" applyAlignment="1" applyBorder="1" applyFont="1" applyNumberFormat="1">
      <alignment horizontal="center" shrinkToFit="0" vertical="center" wrapText="0"/>
    </xf>
    <xf borderId="4" fillId="4" fontId="6" numFmtId="166" xfId="0" applyAlignment="1" applyBorder="1" applyFont="1" applyNumberFormat="1">
      <alignment horizontal="center" shrinkToFit="0" vertical="center" wrapText="0"/>
    </xf>
    <xf borderId="4" fillId="4" fontId="6" numFmtId="167" xfId="0" applyAlignment="1" applyBorder="1" applyFont="1" applyNumberFormat="1">
      <alignment horizontal="center" shrinkToFit="0" vertical="center" wrapText="0"/>
    </xf>
    <xf borderId="4" fillId="11" fontId="14" numFmtId="0" xfId="0" applyAlignment="1" applyBorder="1" applyFill="1" applyFont="1">
      <alignment horizontal="left" shrinkToFit="0" vertical="center" wrapText="0"/>
    </xf>
    <xf borderId="4" fillId="11" fontId="16" numFmtId="166" xfId="0" applyAlignment="1" applyBorder="1" applyFont="1" applyNumberFormat="1">
      <alignment horizontal="center" shrinkToFit="0" vertical="center" wrapText="0"/>
    </xf>
    <xf borderId="4" fillId="11" fontId="12" numFmtId="0" xfId="0" applyAlignment="1" applyBorder="1" applyFont="1">
      <alignment horizontal="center" shrinkToFit="0" vertical="center" wrapText="0"/>
    </xf>
    <xf borderId="4" fillId="2" fontId="17" numFmtId="0" xfId="0" applyAlignment="1" applyBorder="1" applyFont="1">
      <alignment horizontal="left" shrinkToFit="0" vertical="center" wrapText="0"/>
    </xf>
    <xf borderId="4" fillId="2" fontId="1" numFmtId="166" xfId="0" applyAlignment="1" applyBorder="1" applyFont="1" applyNumberFormat="1">
      <alignment horizontal="center" shrinkToFit="0" vertical="center" wrapText="0"/>
    </xf>
    <xf borderId="4" fillId="2" fontId="7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1"/>
    </xf>
    <xf borderId="6" fillId="9" fontId="9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5" fontId="18" numFmtId="168" xfId="0" applyAlignment="1" applyBorder="1" applyFont="1" applyNumberFormat="1">
      <alignment horizontal="center" shrinkToFit="0" vertical="center" wrapText="0"/>
    </xf>
    <xf borderId="4" fillId="5" fontId="18" numFmtId="3" xfId="0" applyAlignment="1" applyBorder="1" applyFont="1" applyNumberFormat="1">
      <alignment horizontal="center" shrinkToFit="0" vertical="center" wrapText="0"/>
    </xf>
    <xf borderId="4" fillId="5" fontId="18" numFmtId="2" xfId="0" applyAlignment="1" applyBorder="1" applyFont="1" applyNumberFormat="1">
      <alignment horizontal="center" shrinkToFit="0" vertical="center" wrapText="0"/>
    </xf>
    <xf borderId="4" fillId="5" fontId="18" numFmtId="0" xfId="0" applyAlignment="1" applyBorder="1" applyFont="1">
      <alignment horizontal="center" shrinkToFit="0" vertical="center" wrapText="0"/>
    </xf>
    <xf borderId="4" fillId="10" fontId="19" numFmtId="168" xfId="0" applyAlignment="1" applyBorder="1" applyFont="1" applyNumberFormat="1">
      <alignment horizontal="center" shrinkToFit="0" vertical="center" wrapText="0"/>
    </xf>
    <xf borderId="4" fillId="10" fontId="19" numFmtId="3" xfId="0" applyAlignment="1" applyBorder="1" applyFont="1" applyNumberFormat="1">
      <alignment horizontal="center" shrinkToFit="0" vertical="center" wrapText="0"/>
    </xf>
    <xf borderId="4" fillId="10" fontId="19" numFmtId="2" xfId="0" applyAlignment="1" applyBorder="1" applyFont="1" applyNumberFormat="1">
      <alignment horizontal="center" shrinkToFit="0" vertical="center" wrapText="0"/>
    </xf>
    <xf borderId="4" fillId="10" fontId="19" numFmtId="0" xfId="0" applyAlignment="1" applyBorder="1" applyFont="1">
      <alignment horizontal="center" shrinkToFit="0" vertical="center" wrapText="0"/>
    </xf>
    <xf borderId="4" fillId="10" fontId="14" numFmtId="0" xfId="0" applyAlignment="1" applyBorder="1" applyFont="1">
      <alignment horizontal="center" shrinkToFit="0" vertical="center" wrapText="0"/>
    </xf>
    <xf borderId="4" fillId="10" fontId="12" numFmtId="0" xfId="0" applyAlignment="1" applyBorder="1" applyFont="1">
      <alignment horizontal="center" shrinkToFit="0" vertical="center" wrapText="0"/>
    </xf>
    <xf borderId="4" fillId="10" fontId="11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left" shrinkToFit="0" vertical="center" wrapText="0"/>
    </xf>
    <xf borderId="4" fillId="5" fontId="14" numFmtId="0" xfId="0" applyAlignment="1" applyBorder="1" applyFont="1">
      <alignment horizontal="center"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4" fillId="9" fontId="14" numFmtId="0" xfId="0" applyAlignment="1" applyBorder="1" applyFont="1">
      <alignment horizontal="left" shrinkToFit="0" vertical="center" wrapText="0"/>
    </xf>
    <xf borderId="4" fillId="9" fontId="14" numFmtId="0" xfId="0" applyAlignment="1" applyBorder="1" applyFont="1">
      <alignment horizontal="center" shrinkToFit="0" vertical="center" wrapText="0"/>
    </xf>
    <xf borderId="4" fillId="9" fontId="12" numFmtId="0" xfId="0" applyAlignment="1" applyBorder="1" applyFont="1">
      <alignment horizontal="center" shrinkToFit="0" vertical="center" wrapText="0"/>
    </xf>
    <xf borderId="4" fillId="9" fontId="11" numFmtId="0" xfId="0" applyAlignment="1" applyBorder="1" applyFont="1">
      <alignment horizontal="left" shrinkToFit="0" vertical="center" wrapText="1"/>
    </xf>
    <xf borderId="4" fillId="8" fontId="14" numFmtId="0" xfId="0" applyAlignment="1" applyBorder="1" applyFont="1">
      <alignment horizontal="left" shrinkToFit="0" vertical="center" wrapText="0"/>
    </xf>
    <xf borderId="4" fillId="8" fontId="14" numFmtId="0" xfId="0" applyAlignment="1" applyBorder="1" applyFont="1">
      <alignment horizontal="center" shrinkToFit="0" vertical="center" wrapText="0"/>
    </xf>
    <xf borderId="4" fillId="8" fontId="12" numFmtId="0" xfId="0" applyAlignment="1" applyBorder="1" applyFont="1">
      <alignment horizontal="center" shrinkToFit="0" vertical="center" wrapText="0"/>
    </xf>
    <xf borderId="4" fillId="8" fontId="11" numFmtId="0" xfId="0" applyAlignment="1" applyBorder="1" applyFont="1">
      <alignment horizontal="left" shrinkToFit="0" vertical="center" wrapText="1"/>
    </xf>
    <xf borderId="4" fillId="10" fontId="15" numFmtId="168" xfId="0" applyAlignment="1" applyBorder="1" applyFont="1" applyNumberFormat="1">
      <alignment horizontal="center" shrinkToFit="0" vertical="center" wrapText="0"/>
    </xf>
    <xf borderId="1" fillId="12" fontId="1" numFmtId="0" xfId="0" applyAlignment="1" applyBorder="1" applyFill="1" applyFont="1">
      <alignment horizontal="center" shrinkToFit="0" vertical="center" wrapText="0"/>
    </xf>
    <xf borderId="1" fillId="12" fontId="3" numFmtId="0" xfId="0" applyAlignment="1" applyBorder="1" applyFont="1">
      <alignment horizontal="center" shrinkToFit="0" vertical="center" wrapText="0"/>
    </xf>
    <xf borderId="1" fillId="12" fontId="5" numFmtId="0" xfId="0" applyAlignment="1" applyBorder="1" applyFont="1">
      <alignment horizontal="left" shrinkToFit="0" vertical="center" wrapText="0"/>
    </xf>
    <xf borderId="4" fillId="12" fontId="4" numFmtId="0" xfId="0" applyAlignment="1" applyBorder="1" applyFont="1">
      <alignment horizontal="center" shrinkToFit="0" vertical="center" wrapText="1"/>
    </xf>
    <xf borderId="4" fillId="10" fontId="20" numFmtId="0" xfId="0" applyAlignment="1" applyBorder="1" applyFont="1">
      <alignment horizontal="center" shrinkToFit="0" vertical="center" wrapText="0"/>
    </xf>
    <xf borderId="4" fillId="10" fontId="20" numFmtId="0" xfId="0" applyAlignment="1" applyBorder="1" applyFont="1">
      <alignment horizontal="left" shrinkToFit="0" vertical="center" wrapText="0"/>
    </xf>
    <xf borderId="4" fillId="10" fontId="20" numFmtId="164" xfId="0" applyAlignment="1" applyBorder="1" applyFont="1" applyNumberFormat="1">
      <alignment horizontal="center" shrinkToFit="0" vertical="center" wrapText="0"/>
    </xf>
    <xf borderId="4" fillId="10" fontId="20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0"/>
    </xf>
    <xf borderId="4" fillId="4" fontId="9" numFmtId="0" xfId="0" applyAlignment="1" applyBorder="1" applyFont="1">
      <alignment horizontal="left" shrinkToFit="0" vertical="center" wrapText="0"/>
    </xf>
    <xf borderId="4" fillId="4" fontId="11" numFmtId="0" xfId="0" applyAlignment="1" applyBorder="1" applyFont="1">
      <alignment horizontal="center" shrinkToFit="0" vertical="center" wrapText="0"/>
    </xf>
    <xf borderId="4" fillId="10" fontId="9" numFmtId="0" xfId="0" applyAlignment="1" applyBorder="1" applyFont="1">
      <alignment horizontal="left" shrinkToFit="0" vertical="center" wrapText="0"/>
    </xf>
    <xf borderId="4" fillId="10" fontId="11" numFmtId="0" xfId="0" applyAlignment="1" applyBorder="1" applyFont="1">
      <alignment horizontal="center" shrinkToFit="0" vertical="center" wrapText="0"/>
    </xf>
    <xf borderId="4" fillId="9" fontId="9" numFmtId="0" xfId="0" applyAlignment="1" applyBorder="1" applyFont="1">
      <alignment horizontal="left" shrinkToFit="0" vertical="center" wrapText="0"/>
    </xf>
    <xf borderId="4" fillId="9" fontId="11" numFmtId="0" xfId="0" applyAlignment="1" applyBorder="1" applyFont="1">
      <alignment horizontal="center" shrinkToFit="0" vertical="center" wrapText="0"/>
    </xf>
    <xf borderId="4" fillId="10" fontId="6" numFmtId="0" xfId="0" applyAlignment="1" applyBorder="1" applyFont="1">
      <alignment horizontal="center" shrinkToFit="0" vertical="center" wrapText="0"/>
    </xf>
    <xf borderId="4" fillId="10" fontId="6" numFmtId="0" xfId="0" applyAlignment="1" applyBorder="1" applyFont="1">
      <alignment horizontal="left" shrinkToFit="0" vertical="center" wrapText="0"/>
    </xf>
    <xf borderId="4" fillId="10" fontId="6" numFmtId="0" xfId="0" applyAlignment="1" applyBorder="1" applyFont="1">
      <alignment horizontal="left" shrinkToFit="0" vertical="center" wrapText="1"/>
    </xf>
    <xf borderId="4" fillId="13" fontId="6" numFmtId="0" xfId="0" applyAlignment="1" applyBorder="1" applyFill="1" applyFont="1">
      <alignment horizontal="center" shrinkToFit="0" vertical="center" wrapText="0"/>
    </xf>
    <xf borderId="4" fillId="13" fontId="6" numFmtId="0" xfId="0" applyAlignment="1" applyBorder="1" applyFont="1">
      <alignment horizontal="left" shrinkToFit="0" vertical="center" wrapText="0"/>
    </xf>
    <xf borderId="4" fillId="13" fontId="6" numFmtId="0" xfId="0" applyAlignment="1" applyBorder="1" applyFont="1">
      <alignment horizontal="left" shrinkToFit="0" vertical="center" wrapText="1"/>
    </xf>
    <xf borderId="4" fillId="9" fontId="20" numFmtId="0" xfId="0" applyAlignment="1" applyBorder="1" applyFont="1">
      <alignment horizontal="left" shrinkToFit="0" vertical="center" wrapText="0"/>
    </xf>
    <xf borderId="4" fillId="9" fontId="20" numFmtId="0" xfId="0" applyAlignment="1" applyBorder="1" applyFont="1">
      <alignment horizontal="center" shrinkToFit="0" vertical="center" wrapText="0"/>
    </xf>
    <xf borderId="4" fillId="9" fontId="20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shrinkToFit="0" vertical="center" wrapText="0"/>
    </xf>
    <xf borderId="1" fillId="14" fontId="5" numFmtId="0" xfId="0" applyAlignment="1" applyBorder="1" applyFont="1">
      <alignment horizontal="left" shrinkToFit="0" vertical="center" wrapText="0"/>
    </xf>
    <xf borderId="4" fillId="9" fontId="10" numFmtId="169" xfId="0" applyAlignment="1" applyBorder="1" applyFont="1" applyNumberFormat="1">
      <alignment horizontal="center" shrinkToFit="0" vertical="center" wrapText="0"/>
    </xf>
    <xf borderId="4" fillId="5" fontId="9" numFmtId="169" xfId="0" applyAlignment="1" applyBorder="1" applyFont="1" applyNumberFormat="1">
      <alignment horizontal="center"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4" fillId="5" fontId="6" numFmtId="2" xfId="0" applyAlignment="1" applyBorder="1" applyFont="1" applyNumberFormat="1">
      <alignment horizontal="center" shrinkToFit="0" vertical="center" wrapText="0"/>
    </xf>
    <xf borderId="4" fillId="4" fontId="6" numFmtId="2" xfId="0" applyAlignment="1" applyBorder="1" applyFont="1" applyNumberFormat="1">
      <alignment horizontal="center" shrinkToFit="0" vertical="center" wrapText="0"/>
    </xf>
    <xf borderId="4" fillId="11" fontId="21" numFmtId="0" xfId="0" applyAlignment="1" applyBorder="1" applyFont="1">
      <alignment horizontal="left" shrinkToFit="0" vertical="center" wrapText="0"/>
    </xf>
    <xf borderId="4" fillId="11" fontId="22" numFmtId="169" xfId="0" applyAlignment="1" applyBorder="1" applyFont="1" applyNumberFormat="1">
      <alignment horizontal="center" shrinkToFit="0" vertical="center" wrapText="0"/>
    </xf>
    <xf borderId="4" fillId="11" fontId="14" numFmtId="0" xfId="0" applyAlignment="1" applyBorder="1" applyFont="1">
      <alignment horizontal="center" shrinkToFit="0" vertical="center" wrapText="0"/>
    </xf>
    <xf borderId="4" fillId="11" fontId="12" numFmtId="0" xfId="0" applyAlignment="1" applyBorder="1" applyFont="1">
      <alignment horizontal="left" shrinkToFit="0" vertical="center" wrapText="1"/>
    </xf>
    <xf borderId="4" fillId="9" fontId="21" numFmtId="0" xfId="0" applyAlignment="1" applyBorder="1" applyFont="1">
      <alignment horizontal="left" shrinkToFit="0" vertical="center" wrapText="0"/>
    </xf>
    <xf borderId="4" fillId="9" fontId="23" numFmtId="169" xfId="0" applyAlignment="1" applyBorder="1" applyFont="1" applyNumberFormat="1">
      <alignment horizontal="center" shrinkToFit="0" vertical="center" wrapText="0"/>
    </xf>
    <xf borderId="4" fillId="9" fontId="12" numFmtId="0" xfId="0" applyAlignment="1" applyBorder="1" applyFont="1">
      <alignment horizontal="left" shrinkToFit="0" vertical="center" wrapText="1"/>
    </xf>
    <xf borderId="4" fillId="10" fontId="21" numFmtId="0" xfId="0" applyAlignment="1" applyBorder="1" applyFont="1">
      <alignment horizontal="left" shrinkToFit="0" vertical="center" wrapText="0"/>
    </xf>
    <xf borderId="4" fillId="10" fontId="24" numFmtId="169" xfId="0" applyAlignment="1" applyBorder="1" applyFont="1" applyNumberFormat="1">
      <alignment horizontal="center" shrinkToFit="0" vertical="center" wrapText="0"/>
    </xf>
    <xf borderId="6" fillId="6" fontId="1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5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3.0"/>
    <col customWidth="1" min="3" max="3" width="33.0"/>
    <col customWidth="1" min="4" max="4" width="20.0"/>
    <col customWidth="1" min="5" max="5" width="24.0"/>
    <col customWidth="1" min="6" max="6" width="13.0"/>
    <col customWidth="1" min="7" max="7" width="18.0"/>
    <col customWidth="1" min="8" max="8" width="4.0"/>
    <col customWidth="1" min="9" max="10" width="9.0"/>
    <col customWidth="1" min="11" max="11" width="13.0"/>
    <col customWidth="1" min="12" max="12" width="15.0"/>
    <col customWidth="1" min="13" max="13" width="10.0"/>
    <col customWidth="1" min="14" max="14" width="13.0"/>
    <col customWidth="1" min="15" max="15" width="32.0"/>
    <col customWidth="1" min="16" max="16" width="4.0"/>
    <col customWidth="1" min="17" max="17" width="20.0"/>
    <col customWidth="1" min="1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25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</row>
    <row r="4" ht="16.5" customHeight="1">
      <c r="A4" s="6" t="s">
        <v>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ht="45.75" customHeight="1">
      <c r="A5" s="7">
        <v>1.0</v>
      </c>
      <c r="B5" s="8" t="s">
        <v>20</v>
      </c>
      <c r="C5" s="9" t="s">
        <v>21</v>
      </c>
      <c r="D5" s="8" t="s">
        <v>22</v>
      </c>
      <c r="E5" s="8" t="s">
        <v>23</v>
      </c>
      <c r="F5" s="8" t="s">
        <v>24</v>
      </c>
      <c r="G5" s="8" t="s">
        <v>25</v>
      </c>
      <c r="H5" s="7">
        <v>1.0</v>
      </c>
      <c r="I5" s="10">
        <v>9.85</v>
      </c>
      <c r="J5" s="10">
        <f t="shared" ref="J5:J16" si="1">H5*I5</f>
        <v>9.85</v>
      </c>
      <c r="K5" s="7" t="s">
        <v>26</v>
      </c>
      <c r="L5" s="7" t="s">
        <v>27</v>
      </c>
      <c r="M5" s="7" t="s">
        <v>28</v>
      </c>
      <c r="N5" s="8" t="s">
        <v>29</v>
      </c>
      <c r="O5" s="9" t="s">
        <v>30</v>
      </c>
      <c r="P5" s="7" t="s">
        <v>31</v>
      </c>
      <c r="Q5" s="9" t="s">
        <v>32</v>
      </c>
    </row>
    <row r="6" ht="45.75" customHeight="1">
      <c r="A6" s="11">
        <v>2.0</v>
      </c>
      <c r="B6" s="12" t="s">
        <v>33</v>
      </c>
      <c r="C6" s="13" t="s">
        <v>34</v>
      </c>
      <c r="D6" s="12" t="s">
        <v>35</v>
      </c>
      <c r="E6" s="12" t="s">
        <v>36</v>
      </c>
      <c r="F6" s="12" t="s">
        <v>37</v>
      </c>
      <c r="G6" s="12" t="s">
        <v>38</v>
      </c>
      <c r="H6" s="11">
        <v>1.0</v>
      </c>
      <c r="I6" s="14">
        <v>7.2</v>
      </c>
      <c r="J6" s="14">
        <f t="shared" si="1"/>
        <v>7.2</v>
      </c>
      <c r="K6" s="11" t="s">
        <v>39</v>
      </c>
      <c r="L6" s="11" t="s">
        <v>27</v>
      </c>
      <c r="M6" s="11" t="s">
        <v>28</v>
      </c>
      <c r="N6" s="12" t="s">
        <v>40</v>
      </c>
      <c r="O6" s="13" t="s">
        <v>41</v>
      </c>
      <c r="P6" s="11" t="s">
        <v>31</v>
      </c>
      <c r="Q6" s="13" t="s">
        <v>42</v>
      </c>
    </row>
    <row r="7" ht="54.75" customHeight="1">
      <c r="A7" s="7">
        <v>3.0</v>
      </c>
      <c r="B7" s="8" t="s">
        <v>43</v>
      </c>
      <c r="C7" s="9" t="s">
        <v>44</v>
      </c>
      <c r="D7" s="8" t="s">
        <v>45</v>
      </c>
      <c r="E7" s="8" t="s">
        <v>46</v>
      </c>
      <c r="F7" s="8" t="s">
        <v>47</v>
      </c>
      <c r="G7" s="8" t="s">
        <v>48</v>
      </c>
      <c r="H7" s="7">
        <v>1.0</v>
      </c>
      <c r="I7" s="10">
        <v>14.5</v>
      </c>
      <c r="J7" s="10">
        <f t="shared" si="1"/>
        <v>14.5</v>
      </c>
      <c r="K7" s="7" t="s">
        <v>49</v>
      </c>
      <c r="L7" s="7" t="s">
        <v>27</v>
      </c>
      <c r="M7" s="7" t="s">
        <v>28</v>
      </c>
      <c r="N7" s="8" t="s">
        <v>50</v>
      </c>
      <c r="O7" s="9" t="s">
        <v>51</v>
      </c>
      <c r="P7" s="7" t="s">
        <v>31</v>
      </c>
      <c r="Q7" s="9" t="s">
        <v>52</v>
      </c>
    </row>
    <row r="8" ht="45.75" customHeight="1">
      <c r="A8" s="11">
        <v>4.0</v>
      </c>
      <c r="B8" s="12" t="s">
        <v>53</v>
      </c>
      <c r="C8" s="13" t="s">
        <v>54</v>
      </c>
      <c r="D8" s="12" t="s">
        <v>22</v>
      </c>
      <c r="E8" s="12" t="s">
        <v>55</v>
      </c>
      <c r="F8" s="12" t="s">
        <v>56</v>
      </c>
      <c r="G8" s="12" t="s">
        <v>57</v>
      </c>
      <c r="H8" s="11">
        <v>1.0</v>
      </c>
      <c r="I8" s="14">
        <v>3.4</v>
      </c>
      <c r="J8" s="14">
        <f t="shared" si="1"/>
        <v>3.4</v>
      </c>
      <c r="K8" s="11" t="s">
        <v>26</v>
      </c>
      <c r="L8" s="11" t="s">
        <v>27</v>
      </c>
      <c r="M8" s="11" t="s">
        <v>28</v>
      </c>
      <c r="N8" s="12" t="s">
        <v>58</v>
      </c>
      <c r="O8" s="13" t="s">
        <v>59</v>
      </c>
      <c r="P8" s="11" t="s">
        <v>31</v>
      </c>
      <c r="Q8" s="13" t="s">
        <v>60</v>
      </c>
    </row>
    <row r="9" ht="45.75" customHeight="1">
      <c r="A9" s="7">
        <v>5.0</v>
      </c>
      <c r="B9" s="8" t="s">
        <v>61</v>
      </c>
      <c r="C9" s="9" t="s">
        <v>62</v>
      </c>
      <c r="D9" s="8" t="s">
        <v>63</v>
      </c>
      <c r="E9" s="8" t="s">
        <v>64</v>
      </c>
      <c r="F9" s="8" t="s">
        <v>65</v>
      </c>
      <c r="G9" s="8" t="s">
        <v>66</v>
      </c>
      <c r="H9" s="7">
        <v>1.0</v>
      </c>
      <c r="I9" s="10">
        <v>4.1</v>
      </c>
      <c r="J9" s="10">
        <f t="shared" si="1"/>
        <v>4.1</v>
      </c>
      <c r="K9" s="7" t="s">
        <v>67</v>
      </c>
      <c r="L9" s="7" t="s">
        <v>27</v>
      </c>
      <c r="M9" s="7" t="s">
        <v>28</v>
      </c>
      <c r="N9" s="8" t="s">
        <v>68</v>
      </c>
      <c r="O9" s="9" t="s">
        <v>69</v>
      </c>
      <c r="P9" s="7" t="s">
        <v>31</v>
      </c>
      <c r="Q9" s="9" t="s">
        <v>70</v>
      </c>
    </row>
    <row r="10" ht="36.75" customHeight="1">
      <c r="A10" s="11">
        <v>6.0</v>
      </c>
      <c r="B10" s="12" t="s">
        <v>71</v>
      </c>
      <c r="C10" s="13" t="s">
        <v>72</v>
      </c>
      <c r="D10" s="12" t="s">
        <v>63</v>
      </c>
      <c r="E10" s="12" t="s">
        <v>73</v>
      </c>
      <c r="F10" s="12" t="s">
        <v>74</v>
      </c>
      <c r="G10" s="12" t="s">
        <v>75</v>
      </c>
      <c r="H10" s="11">
        <v>1.0</v>
      </c>
      <c r="I10" s="14">
        <v>0.9</v>
      </c>
      <c r="J10" s="14">
        <f t="shared" si="1"/>
        <v>0.9</v>
      </c>
      <c r="K10" s="11" t="s">
        <v>76</v>
      </c>
      <c r="L10" s="11" t="s">
        <v>27</v>
      </c>
      <c r="M10" s="11" t="s">
        <v>28</v>
      </c>
      <c r="N10" s="12" t="s">
        <v>77</v>
      </c>
      <c r="O10" s="13" t="s">
        <v>78</v>
      </c>
      <c r="P10" s="11" t="s">
        <v>31</v>
      </c>
      <c r="Q10" s="13" t="s">
        <v>79</v>
      </c>
    </row>
    <row r="11" ht="45.75" customHeight="1">
      <c r="A11" s="7">
        <v>7.0</v>
      </c>
      <c r="B11" s="8" t="s">
        <v>80</v>
      </c>
      <c r="C11" s="9" t="s">
        <v>81</v>
      </c>
      <c r="D11" s="8" t="s">
        <v>82</v>
      </c>
      <c r="E11" s="8" t="s">
        <v>83</v>
      </c>
      <c r="F11" s="8" t="s">
        <v>84</v>
      </c>
      <c r="G11" s="8" t="s">
        <v>85</v>
      </c>
      <c r="H11" s="7">
        <v>1.0</v>
      </c>
      <c r="I11" s="10">
        <v>6.5</v>
      </c>
      <c r="J11" s="10">
        <f t="shared" si="1"/>
        <v>6.5</v>
      </c>
      <c r="K11" s="7" t="s">
        <v>86</v>
      </c>
      <c r="L11" s="7" t="s">
        <v>27</v>
      </c>
      <c r="M11" s="7" t="s">
        <v>28</v>
      </c>
      <c r="N11" s="8" t="s">
        <v>87</v>
      </c>
      <c r="O11" s="9" t="s">
        <v>88</v>
      </c>
      <c r="P11" s="7" t="s">
        <v>31</v>
      </c>
      <c r="Q11" s="9" t="s">
        <v>89</v>
      </c>
    </row>
    <row r="12" ht="36.75" customHeight="1">
      <c r="A12" s="11">
        <v>8.0</v>
      </c>
      <c r="B12" s="12" t="s">
        <v>90</v>
      </c>
      <c r="C12" s="13" t="s">
        <v>91</v>
      </c>
      <c r="D12" s="12" t="s">
        <v>92</v>
      </c>
      <c r="E12" s="12" t="s">
        <v>93</v>
      </c>
      <c r="F12" s="12" t="s">
        <v>94</v>
      </c>
      <c r="G12" s="12" t="s">
        <v>95</v>
      </c>
      <c r="H12" s="11">
        <v>1.0</v>
      </c>
      <c r="I12" s="14">
        <v>2.35</v>
      </c>
      <c r="J12" s="14">
        <f t="shared" si="1"/>
        <v>2.35</v>
      </c>
      <c r="K12" s="11" t="s">
        <v>96</v>
      </c>
      <c r="L12" s="11" t="s">
        <v>27</v>
      </c>
      <c r="M12" s="11" t="s">
        <v>28</v>
      </c>
      <c r="N12" s="12" t="s">
        <v>97</v>
      </c>
      <c r="O12" s="13" t="s">
        <v>98</v>
      </c>
      <c r="P12" s="11" t="s">
        <v>31</v>
      </c>
      <c r="Q12" s="13" t="s">
        <v>99</v>
      </c>
    </row>
    <row r="13" ht="45.75" customHeight="1">
      <c r="A13" s="7">
        <v>9.0</v>
      </c>
      <c r="B13" s="8" t="s">
        <v>100</v>
      </c>
      <c r="C13" s="9" t="s">
        <v>101</v>
      </c>
      <c r="D13" s="8" t="s">
        <v>92</v>
      </c>
      <c r="E13" s="8" t="s">
        <v>102</v>
      </c>
      <c r="F13" s="8" t="s">
        <v>103</v>
      </c>
      <c r="G13" s="8" t="s">
        <v>104</v>
      </c>
      <c r="H13" s="7">
        <v>1.0</v>
      </c>
      <c r="I13" s="10">
        <v>0.85</v>
      </c>
      <c r="J13" s="10">
        <f t="shared" si="1"/>
        <v>0.85</v>
      </c>
      <c r="K13" s="7" t="s">
        <v>96</v>
      </c>
      <c r="L13" s="7" t="s">
        <v>27</v>
      </c>
      <c r="M13" s="7" t="s">
        <v>28</v>
      </c>
      <c r="N13" s="8" t="s">
        <v>105</v>
      </c>
      <c r="O13" s="9" t="s">
        <v>106</v>
      </c>
      <c r="P13" s="7" t="s">
        <v>31</v>
      </c>
      <c r="Q13" s="9" t="s">
        <v>107</v>
      </c>
    </row>
    <row r="14" ht="45.75" customHeight="1">
      <c r="A14" s="11">
        <v>10.0</v>
      </c>
      <c r="B14" s="12" t="s">
        <v>108</v>
      </c>
      <c r="C14" s="13" t="s">
        <v>109</v>
      </c>
      <c r="D14" s="12" t="s">
        <v>92</v>
      </c>
      <c r="E14" s="12" t="s">
        <v>110</v>
      </c>
      <c r="F14" s="12" t="s">
        <v>111</v>
      </c>
      <c r="G14" s="12" t="s">
        <v>112</v>
      </c>
      <c r="H14" s="11">
        <v>1.0</v>
      </c>
      <c r="I14" s="14">
        <v>3.8</v>
      </c>
      <c r="J14" s="14">
        <f t="shared" si="1"/>
        <v>3.8</v>
      </c>
      <c r="K14" s="11" t="s">
        <v>113</v>
      </c>
      <c r="L14" s="11" t="s">
        <v>27</v>
      </c>
      <c r="M14" s="11" t="s">
        <v>28</v>
      </c>
      <c r="N14" s="12" t="s">
        <v>114</v>
      </c>
      <c r="O14" s="13" t="s">
        <v>115</v>
      </c>
      <c r="P14" s="11" t="s">
        <v>31</v>
      </c>
      <c r="Q14" s="13" t="s">
        <v>116</v>
      </c>
    </row>
    <row r="15" ht="45.75" customHeight="1">
      <c r="A15" s="7">
        <v>11.0</v>
      </c>
      <c r="B15" s="8" t="s">
        <v>117</v>
      </c>
      <c r="C15" s="9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7">
        <v>1.0</v>
      </c>
      <c r="I15" s="10">
        <v>1.95</v>
      </c>
      <c r="J15" s="10">
        <f t="shared" si="1"/>
        <v>1.95</v>
      </c>
      <c r="K15" s="7" t="s">
        <v>123</v>
      </c>
      <c r="L15" s="7" t="s">
        <v>27</v>
      </c>
      <c r="M15" s="7" t="s">
        <v>28</v>
      </c>
      <c r="N15" s="8" t="s">
        <v>124</v>
      </c>
      <c r="O15" s="9" t="s">
        <v>125</v>
      </c>
      <c r="P15" s="7" t="s">
        <v>31</v>
      </c>
      <c r="Q15" s="9" t="s">
        <v>126</v>
      </c>
    </row>
    <row r="16" ht="36.75" customHeight="1">
      <c r="A16" s="11">
        <v>12.0</v>
      </c>
      <c r="B16" s="12" t="s">
        <v>127</v>
      </c>
      <c r="C16" s="13" t="s">
        <v>128</v>
      </c>
      <c r="D16" s="12" t="s">
        <v>92</v>
      </c>
      <c r="E16" s="12" t="s">
        <v>129</v>
      </c>
      <c r="F16" s="12" t="s">
        <v>130</v>
      </c>
      <c r="G16" s="12" t="s">
        <v>131</v>
      </c>
      <c r="H16" s="11">
        <v>1.0</v>
      </c>
      <c r="I16" s="14">
        <v>3.2</v>
      </c>
      <c r="J16" s="14">
        <f t="shared" si="1"/>
        <v>3.2</v>
      </c>
      <c r="K16" s="11" t="s">
        <v>132</v>
      </c>
      <c r="L16" s="11" t="s">
        <v>27</v>
      </c>
      <c r="M16" s="11" t="s">
        <v>28</v>
      </c>
      <c r="N16" s="12" t="s">
        <v>133</v>
      </c>
      <c r="O16" s="13" t="s">
        <v>134</v>
      </c>
      <c r="P16" s="11" t="s">
        <v>31</v>
      </c>
      <c r="Q16" s="13" t="s">
        <v>135</v>
      </c>
    </row>
    <row r="17" ht="16.5" customHeight="1">
      <c r="A17" s="6" t="s">
        <v>136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ht="72.75" customHeight="1">
      <c r="A18" s="7">
        <v>13.0</v>
      </c>
      <c r="B18" s="8" t="s">
        <v>137</v>
      </c>
      <c r="C18" s="9" t="s">
        <v>138</v>
      </c>
      <c r="D18" s="8" t="s">
        <v>139</v>
      </c>
      <c r="E18" s="8" t="s">
        <v>140</v>
      </c>
      <c r="F18" s="8" t="s">
        <v>141</v>
      </c>
      <c r="G18" s="8" t="s">
        <v>142</v>
      </c>
      <c r="H18" s="7">
        <v>1.0</v>
      </c>
      <c r="I18" s="10">
        <v>1.8</v>
      </c>
      <c r="J18" s="10">
        <f t="shared" ref="J18:J29" si="2">H18*I18</f>
        <v>1.8</v>
      </c>
      <c r="K18" s="7" t="s">
        <v>143</v>
      </c>
      <c r="L18" s="7" t="s">
        <v>27</v>
      </c>
      <c r="M18" s="7" t="s">
        <v>144</v>
      </c>
      <c r="N18" s="8" t="s">
        <v>145</v>
      </c>
      <c r="O18" s="9" t="s">
        <v>146</v>
      </c>
      <c r="P18" s="7" t="s">
        <v>31</v>
      </c>
      <c r="Q18" s="9" t="s">
        <v>147</v>
      </c>
    </row>
    <row r="19" ht="45.75" customHeight="1">
      <c r="A19" s="11">
        <v>14.0</v>
      </c>
      <c r="B19" s="12" t="s">
        <v>148</v>
      </c>
      <c r="C19" s="13" t="s">
        <v>149</v>
      </c>
      <c r="D19" s="12" t="s">
        <v>150</v>
      </c>
      <c r="E19" s="12" t="s">
        <v>151</v>
      </c>
      <c r="F19" s="12" t="s">
        <v>152</v>
      </c>
      <c r="G19" s="12" t="s">
        <v>153</v>
      </c>
      <c r="H19" s="11">
        <v>1.0</v>
      </c>
      <c r="I19" s="14">
        <v>0.42</v>
      </c>
      <c r="J19" s="14">
        <f t="shared" si="2"/>
        <v>0.42</v>
      </c>
      <c r="K19" s="11" t="s">
        <v>28</v>
      </c>
      <c r="L19" s="11" t="s">
        <v>27</v>
      </c>
      <c r="M19" s="11" t="s">
        <v>154</v>
      </c>
      <c r="N19" s="12" t="s">
        <v>155</v>
      </c>
      <c r="O19" s="13" t="s">
        <v>156</v>
      </c>
      <c r="P19" s="11" t="s">
        <v>31</v>
      </c>
      <c r="Q19" s="13" t="s">
        <v>157</v>
      </c>
    </row>
    <row r="20" ht="36.75" customHeight="1">
      <c r="A20" s="7">
        <v>15.0</v>
      </c>
      <c r="B20" s="8" t="s">
        <v>158</v>
      </c>
      <c r="C20" s="9" t="s">
        <v>159</v>
      </c>
      <c r="D20" s="8" t="s">
        <v>160</v>
      </c>
      <c r="E20" s="8" t="s">
        <v>161</v>
      </c>
      <c r="F20" s="8" t="s">
        <v>162</v>
      </c>
      <c r="G20" s="8" t="s">
        <v>163</v>
      </c>
      <c r="H20" s="7">
        <v>2.0</v>
      </c>
      <c r="I20" s="10">
        <v>0.18</v>
      </c>
      <c r="J20" s="10">
        <f t="shared" si="2"/>
        <v>0.36</v>
      </c>
      <c r="K20" s="7" t="s">
        <v>28</v>
      </c>
      <c r="L20" s="7" t="s">
        <v>164</v>
      </c>
      <c r="M20" s="7" t="s">
        <v>165</v>
      </c>
      <c r="N20" s="8" t="s">
        <v>166</v>
      </c>
      <c r="O20" s="9" t="s">
        <v>167</v>
      </c>
      <c r="P20" s="7" t="s">
        <v>31</v>
      </c>
      <c r="Q20" s="9" t="s">
        <v>161</v>
      </c>
    </row>
    <row r="21" ht="27.75" customHeight="1">
      <c r="A21" s="11">
        <v>16.0</v>
      </c>
      <c r="B21" s="12" t="s">
        <v>168</v>
      </c>
      <c r="C21" s="13" t="s">
        <v>169</v>
      </c>
      <c r="D21" s="12" t="s">
        <v>160</v>
      </c>
      <c r="E21" s="12" t="s">
        <v>170</v>
      </c>
      <c r="F21" s="12" t="s">
        <v>162</v>
      </c>
      <c r="G21" s="12" t="s">
        <v>171</v>
      </c>
      <c r="H21" s="11">
        <v>1.0</v>
      </c>
      <c r="I21" s="14">
        <v>0.18</v>
      </c>
      <c r="J21" s="14">
        <f t="shared" si="2"/>
        <v>0.18</v>
      </c>
      <c r="K21" s="11" t="s">
        <v>28</v>
      </c>
      <c r="L21" s="11" t="s">
        <v>164</v>
      </c>
      <c r="M21" s="11" t="s">
        <v>165</v>
      </c>
      <c r="N21" s="12" t="s">
        <v>166</v>
      </c>
      <c r="O21" s="13" t="s">
        <v>172</v>
      </c>
      <c r="P21" s="11" t="s">
        <v>31</v>
      </c>
      <c r="Q21" s="13" t="s">
        <v>170</v>
      </c>
    </row>
    <row r="22" ht="36.75" customHeight="1">
      <c r="A22" s="7">
        <v>17.0</v>
      </c>
      <c r="B22" s="8" t="s">
        <v>173</v>
      </c>
      <c r="C22" s="9" t="s">
        <v>174</v>
      </c>
      <c r="D22" s="8" t="s">
        <v>175</v>
      </c>
      <c r="E22" s="8" t="s">
        <v>176</v>
      </c>
      <c r="F22" s="8" t="s">
        <v>177</v>
      </c>
      <c r="G22" s="8" t="s">
        <v>178</v>
      </c>
      <c r="H22" s="7">
        <v>1.0</v>
      </c>
      <c r="I22" s="10">
        <v>0.45</v>
      </c>
      <c r="J22" s="10">
        <f t="shared" si="2"/>
        <v>0.45</v>
      </c>
      <c r="K22" s="7" t="s">
        <v>28</v>
      </c>
      <c r="L22" s="7" t="s">
        <v>179</v>
      </c>
      <c r="M22" s="7" t="s">
        <v>180</v>
      </c>
      <c r="N22" s="8" t="s">
        <v>181</v>
      </c>
      <c r="O22" s="9" t="s">
        <v>182</v>
      </c>
      <c r="P22" s="7" t="s">
        <v>31</v>
      </c>
      <c r="Q22" s="9" t="s">
        <v>183</v>
      </c>
    </row>
    <row r="23" ht="27.75" customHeight="1">
      <c r="A23" s="11">
        <v>18.0</v>
      </c>
      <c r="B23" s="12" t="s">
        <v>184</v>
      </c>
      <c r="C23" s="13" t="s">
        <v>185</v>
      </c>
      <c r="D23" s="12" t="s">
        <v>160</v>
      </c>
      <c r="E23" s="12" t="s">
        <v>186</v>
      </c>
      <c r="F23" s="12" t="s">
        <v>162</v>
      </c>
      <c r="G23" s="12" t="s">
        <v>187</v>
      </c>
      <c r="H23" s="11">
        <v>1.0</v>
      </c>
      <c r="I23" s="14">
        <v>0.18</v>
      </c>
      <c r="J23" s="14">
        <f t="shared" si="2"/>
        <v>0.18</v>
      </c>
      <c r="K23" s="11" t="s">
        <v>28</v>
      </c>
      <c r="L23" s="11" t="s">
        <v>164</v>
      </c>
      <c r="M23" s="11" t="s">
        <v>165</v>
      </c>
      <c r="N23" s="12" t="s">
        <v>166</v>
      </c>
      <c r="O23" s="13" t="s">
        <v>188</v>
      </c>
      <c r="P23" s="11" t="s">
        <v>31</v>
      </c>
      <c r="Q23" s="13" t="s">
        <v>28</v>
      </c>
    </row>
    <row r="24" ht="36.75" customHeight="1">
      <c r="A24" s="7">
        <v>19.0</v>
      </c>
      <c r="B24" s="8" t="s">
        <v>189</v>
      </c>
      <c r="C24" s="9" t="s">
        <v>190</v>
      </c>
      <c r="D24" s="8" t="s">
        <v>175</v>
      </c>
      <c r="E24" s="8" t="s">
        <v>191</v>
      </c>
      <c r="F24" s="8" t="s">
        <v>192</v>
      </c>
      <c r="G24" s="8" t="s">
        <v>193</v>
      </c>
      <c r="H24" s="7">
        <v>1.0</v>
      </c>
      <c r="I24" s="10">
        <v>0.12</v>
      </c>
      <c r="J24" s="10">
        <f t="shared" si="2"/>
        <v>0.12</v>
      </c>
      <c r="K24" s="7" t="s">
        <v>194</v>
      </c>
      <c r="L24" s="7" t="s">
        <v>195</v>
      </c>
      <c r="M24" s="7" t="s">
        <v>196</v>
      </c>
      <c r="N24" s="8" t="s">
        <v>197</v>
      </c>
      <c r="O24" s="9" t="s">
        <v>198</v>
      </c>
      <c r="P24" s="7" t="s">
        <v>31</v>
      </c>
      <c r="Q24" s="9" t="s">
        <v>199</v>
      </c>
    </row>
    <row r="25" ht="27.75" customHeight="1">
      <c r="A25" s="11">
        <v>20.0</v>
      </c>
      <c r="B25" s="12" t="s">
        <v>200</v>
      </c>
      <c r="C25" s="13" t="s">
        <v>201</v>
      </c>
      <c r="D25" s="12" t="s">
        <v>175</v>
      </c>
      <c r="E25" s="12" t="s">
        <v>202</v>
      </c>
      <c r="F25" s="12" t="s">
        <v>192</v>
      </c>
      <c r="G25" s="12" t="s">
        <v>203</v>
      </c>
      <c r="H25" s="11">
        <v>1.0</v>
      </c>
      <c r="I25" s="14">
        <v>0.12</v>
      </c>
      <c r="J25" s="14">
        <f t="shared" si="2"/>
        <v>0.12</v>
      </c>
      <c r="K25" s="11" t="s">
        <v>194</v>
      </c>
      <c r="L25" s="11" t="s">
        <v>195</v>
      </c>
      <c r="M25" s="11" t="s">
        <v>196</v>
      </c>
      <c r="N25" s="12" t="s">
        <v>197</v>
      </c>
      <c r="O25" s="13" t="s">
        <v>204</v>
      </c>
      <c r="P25" s="11" t="s">
        <v>31</v>
      </c>
      <c r="Q25" s="13" t="s">
        <v>205</v>
      </c>
    </row>
    <row r="26" ht="27.75" customHeight="1">
      <c r="A26" s="7">
        <v>21.0</v>
      </c>
      <c r="B26" s="8" t="s">
        <v>206</v>
      </c>
      <c r="C26" s="9" t="s">
        <v>207</v>
      </c>
      <c r="D26" s="8" t="s">
        <v>175</v>
      </c>
      <c r="E26" s="8" t="s">
        <v>202</v>
      </c>
      <c r="F26" s="8" t="s">
        <v>192</v>
      </c>
      <c r="G26" s="8" t="s">
        <v>203</v>
      </c>
      <c r="H26" s="7">
        <v>1.0</v>
      </c>
      <c r="I26" s="10">
        <v>0.12</v>
      </c>
      <c r="J26" s="10">
        <f t="shared" si="2"/>
        <v>0.12</v>
      </c>
      <c r="K26" s="7" t="s">
        <v>194</v>
      </c>
      <c r="L26" s="7" t="s">
        <v>195</v>
      </c>
      <c r="M26" s="7" t="s">
        <v>196</v>
      </c>
      <c r="N26" s="8" t="s">
        <v>197</v>
      </c>
      <c r="O26" s="9" t="s">
        <v>208</v>
      </c>
      <c r="P26" s="7" t="s">
        <v>31</v>
      </c>
      <c r="Q26" s="9" t="s">
        <v>205</v>
      </c>
    </row>
    <row r="27" ht="36.75" customHeight="1">
      <c r="A27" s="11">
        <v>22.0</v>
      </c>
      <c r="B27" s="12" t="s">
        <v>209</v>
      </c>
      <c r="C27" s="13" t="s">
        <v>210</v>
      </c>
      <c r="D27" s="12" t="s">
        <v>175</v>
      </c>
      <c r="E27" s="12" t="s">
        <v>191</v>
      </c>
      <c r="F27" s="12" t="s">
        <v>192</v>
      </c>
      <c r="G27" s="12" t="s">
        <v>211</v>
      </c>
      <c r="H27" s="11">
        <v>1.0</v>
      </c>
      <c r="I27" s="14">
        <v>0.12</v>
      </c>
      <c r="J27" s="14">
        <f t="shared" si="2"/>
        <v>0.12</v>
      </c>
      <c r="K27" s="11" t="s">
        <v>194</v>
      </c>
      <c r="L27" s="11" t="s">
        <v>195</v>
      </c>
      <c r="M27" s="11" t="s">
        <v>196</v>
      </c>
      <c r="N27" s="12" t="s">
        <v>197</v>
      </c>
      <c r="O27" s="13" t="s">
        <v>212</v>
      </c>
      <c r="P27" s="11" t="s">
        <v>31</v>
      </c>
      <c r="Q27" s="13" t="s">
        <v>199</v>
      </c>
    </row>
    <row r="28" ht="27.75" customHeight="1">
      <c r="A28" s="7">
        <v>23.0</v>
      </c>
      <c r="B28" s="8" t="s">
        <v>213</v>
      </c>
      <c r="C28" s="9" t="s">
        <v>214</v>
      </c>
      <c r="D28" s="8" t="s">
        <v>160</v>
      </c>
      <c r="E28" s="8" t="s">
        <v>215</v>
      </c>
      <c r="F28" s="8" t="s">
        <v>192</v>
      </c>
      <c r="G28" s="8" t="s">
        <v>216</v>
      </c>
      <c r="H28" s="7">
        <v>1.0</v>
      </c>
      <c r="I28" s="10">
        <v>0.12</v>
      </c>
      <c r="J28" s="10">
        <f t="shared" si="2"/>
        <v>0.12</v>
      </c>
      <c r="K28" s="7" t="s">
        <v>194</v>
      </c>
      <c r="L28" s="7" t="s">
        <v>195</v>
      </c>
      <c r="M28" s="7" t="s">
        <v>196</v>
      </c>
      <c r="N28" s="8" t="s">
        <v>197</v>
      </c>
      <c r="O28" s="9" t="s">
        <v>217</v>
      </c>
      <c r="P28" s="7" t="s">
        <v>31</v>
      </c>
      <c r="Q28" s="9" t="s">
        <v>202</v>
      </c>
    </row>
    <row r="29" ht="36.75" customHeight="1">
      <c r="A29" s="11">
        <v>24.0</v>
      </c>
      <c r="B29" s="12" t="s">
        <v>218</v>
      </c>
      <c r="C29" s="13" t="s">
        <v>219</v>
      </c>
      <c r="D29" s="12" t="s">
        <v>175</v>
      </c>
      <c r="E29" s="12" t="s">
        <v>220</v>
      </c>
      <c r="F29" s="12" t="s">
        <v>192</v>
      </c>
      <c r="G29" s="12" t="s">
        <v>221</v>
      </c>
      <c r="H29" s="11">
        <v>1.0</v>
      </c>
      <c r="I29" s="14">
        <v>0.12</v>
      </c>
      <c r="J29" s="14">
        <f t="shared" si="2"/>
        <v>0.12</v>
      </c>
      <c r="K29" s="11" t="s">
        <v>194</v>
      </c>
      <c r="L29" s="11" t="s">
        <v>195</v>
      </c>
      <c r="M29" s="11" t="s">
        <v>196</v>
      </c>
      <c r="N29" s="12" t="s">
        <v>197</v>
      </c>
      <c r="O29" s="13" t="s">
        <v>222</v>
      </c>
      <c r="P29" s="11" t="s">
        <v>31</v>
      </c>
      <c r="Q29" s="13" t="s">
        <v>28</v>
      </c>
    </row>
    <row r="30" ht="16.5" customHeight="1">
      <c r="A30" s="6" t="s">
        <v>223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45.75" customHeight="1">
      <c r="A31" s="7">
        <v>25.0</v>
      </c>
      <c r="B31" s="8" t="s">
        <v>224</v>
      </c>
      <c r="C31" s="9" t="s">
        <v>225</v>
      </c>
      <c r="D31" s="8" t="s">
        <v>160</v>
      </c>
      <c r="E31" s="8" t="s">
        <v>226</v>
      </c>
      <c r="F31" s="8" t="s">
        <v>162</v>
      </c>
      <c r="G31" s="8" t="s">
        <v>227</v>
      </c>
      <c r="H31" s="7">
        <v>10.0</v>
      </c>
      <c r="I31" s="10">
        <v>0.02</v>
      </c>
      <c r="J31" s="10">
        <f t="shared" ref="J31:J47" si="3">H31*I31</f>
        <v>0.2</v>
      </c>
      <c r="K31" s="7" t="s">
        <v>228</v>
      </c>
      <c r="L31" s="7" t="s">
        <v>164</v>
      </c>
      <c r="M31" s="7" t="s">
        <v>229</v>
      </c>
      <c r="N31" s="8" t="s">
        <v>230</v>
      </c>
      <c r="O31" s="9" t="s">
        <v>231</v>
      </c>
      <c r="P31" s="7" t="s">
        <v>31</v>
      </c>
      <c r="Q31" s="9" t="s">
        <v>232</v>
      </c>
    </row>
    <row r="32" ht="27.75" customHeight="1">
      <c r="A32" s="11">
        <v>26.0</v>
      </c>
      <c r="B32" s="12" t="s">
        <v>233</v>
      </c>
      <c r="C32" s="13" t="s">
        <v>234</v>
      </c>
      <c r="D32" s="12" t="s">
        <v>160</v>
      </c>
      <c r="E32" s="12" t="s">
        <v>235</v>
      </c>
      <c r="F32" s="12" t="s">
        <v>192</v>
      </c>
      <c r="G32" s="12" t="s">
        <v>236</v>
      </c>
      <c r="H32" s="11">
        <v>4.0</v>
      </c>
      <c r="I32" s="14">
        <v>0.08</v>
      </c>
      <c r="J32" s="14">
        <f t="shared" si="3"/>
        <v>0.32</v>
      </c>
      <c r="K32" s="11" t="s">
        <v>237</v>
      </c>
      <c r="L32" s="11" t="s">
        <v>238</v>
      </c>
      <c r="M32" s="11" t="s">
        <v>229</v>
      </c>
      <c r="N32" s="12" t="s">
        <v>230</v>
      </c>
      <c r="O32" s="13" t="s">
        <v>239</v>
      </c>
      <c r="P32" s="11" t="s">
        <v>31</v>
      </c>
      <c r="Q32" s="13" t="s">
        <v>240</v>
      </c>
    </row>
    <row r="33" ht="27.75" customHeight="1">
      <c r="A33" s="7">
        <v>27.0</v>
      </c>
      <c r="B33" s="8" t="s">
        <v>241</v>
      </c>
      <c r="C33" s="9" t="s">
        <v>242</v>
      </c>
      <c r="D33" s="8" t="s">
        <v>243</v>
      </c>
      <c r="E33" s="8" t="s">
        <v>232</v>
      </c>
      <c r="F33" s="8" t="s">
        <v>162</v>
      </c>
      <c r="G33" s="8" t="s">
        <v>244</v>
      </c>
      <c r="H33" s="7">
        <v>8.0</v>
      </c>
      <c r="I33" s="10">
        <v>0.02</v>
      </c>
      <c r="J33" s="10">
        <f t="shared" si="3"/>
        <v>0.16</v>
      </c>
      <c r="K33" s="7" t="s">
        <v>228</v>
      </c>
      <c r="L33" s="7" t="s">
        <v>164</v>
      </c>
      <c r="M33" s="7" t="s">
        <v>229</v>
      </c>
      <c r="N33" s="8" t="s">
        <v>230</v>
      </c>
      <c r="O33" s="9" t="s">
        <v>245</v>
      </c>
      <c r="P33" s="7" t="s">
        <v>31</v>
      </c>
      <c r="Q33" s="9" t="s">
        <v>226</v>
      </c>
    </row>
    <row r="34" ht="18.75" customHeight="1">
      <c r="A34" s="11">
        <v>28.0</v>
      </c>
      <c r="B34" s="12" t="s">
        <v>246</v>
      </c>
      <c r="C34" s="13" t="s">
        <v>247</v>
      </c>
      <c r="D34" s="12" t="s">
        <v>160</v>
      </c>
      <c r="E34" s="12" t="s">
        <v>235</v>
      </c>
      <c r="F34" s="12" t="s">
        <v>192</v>
      </c>
      <c r="G34" s="12" t="s">
        <v>248</v>
      </c>
      <c r="H34" s="11">
        <v>2.0</v>
      </c>
      <c r="I34" s="14">
        <v>0.08</v>
      </c>
      <c r="J34" s="14">
        <f t="shared" si="3"/>
        <v>0.16</v>
      </c>
      <c r="K34" s="11" t="s">
        <v>237</v>
      </c>
      <c r="L34" s="11" t="s">
        <v>238</v>
      </c>
      <c r="M34" s="11" t="s">
        <v>229</v>
      </c>
      <c r="N34" s="12" t="s">
        <v>230</v>
      </c>
      <c r="O34" s="13" t="s">
        <v>249</v>
      </c>
      <c r="P34" s="11" t="s">
        <v>31</v>
      </c>
      <c r="Q34" s="13" t="s">
        <v>240</v>
      </c>
    </row>
    <row r="35" ht="27.75" customHeight="1">
      <c r="A35" s="7">
        <v>29.0</v>
      </c>
      <c r="B35" s="8" t="s">
        <v>250</v>
      </c>
      <c r="C35" s="9" t="s">
        <v>251</v>
      </c>
      <c r="D35" s="8" t="s">
        <v>160</v>
      </c>
      <c r="E35" s="8" t="s">
        <v>226</v>
      </c>
      <c r="F35" s="8" t="s">
        <v>162</v>
      </c>
      <c r="G35" s="8" t="s">
        <v>244</v>
      </c>
      <c r="H35" s="7">
        <v>6.0</v>
      </c>
      <c r="I35" s="10">
        <v>0.02</v>
      </c>
      <c r="J35" s="10">
        <f t="shared" si="3"/>
        <v>0.12</v>
      </c>
      <c r="K35" s="7" t="s">
        <v>228</v>
      </c>
      <c r="L35" s="7" t="s">
        <v>164</v>
      </c>
      <c r="M35" s="7" t="s">
        <v>229</v>
      </c>
      <c r="N35" s="8" t="s">
        <v>230</v>
      </c>
      <c r="O35" s="9" t="s">
        <v>252</v>
      </c>
      <c r="P35" s="7" t="s">
        <v>31</v>
      </c>
      <c r="Q35" s="9" t="s">
        <v>232</v>
      </c>
    </row>
    <row r="36" ht="18.75" customHeight="1">
      <c r="A36" s="11">
        <v>30.0</v>
      </c>
      <c r="B36" s="12" t="s">
        <v>253</v>
      </c>
      <c r="C36" s="13" t="s">
        <v>254</v>
      </c>
      <c r="D36" s="12" t="s">
        <v>243</v>
      </c>
      <c r="E36" s="12" t="s">
        <v>240</v>
      </c>
      <c r="F36" s="12" t="s">
        <v>192</v>
      </c>
      <c r="G36" s="12" t="s">
        <v>248</v>
      </c>
      <c r="H36" s="11">
        <v>2.0</v>
      </c>
      <c r="I36" s="14">
        <v>0.08</v>
      </c>
      <c r="J36" s="14">
        <f t="shared" si="3"/>
        <v>0.16</v>
      </c>
      <c r="K36" s="11" t="s">
        <v>237</v>
      </c>
      <c r="L36" s="11" t="s">
        <v>238</v>
      </c>
      <c r="M36" s="11" t="s">
        <v>229</v>
      </c>
      <c r="N36" s="12" t="s">
        <v>230</v>
      </c>
      <c r="O36" s="13" t="s">
        <v>255</v>
      </c>
      <c r="P36" s="11" t="s">
        <v>31</v>
      </c>
      <c r="Q36" s="13" t="s">
        <v>235</v>
      </c>
    </row>
    <row r="37" ht="36.75" customHeight="1">
      <c r="A37" s="7">
        <v>31.0</v>
      </c>
      <c r="B37" s="8" t="s">
        <v>256</v>
      </c>
      <c r="C37" s="9" t="s">
        <v>257</v>
      </c>
      <c r="D37" s="8" t="s">
        <v>258</v>
      </c>
      <c r="E37" s="8" t="s">
        <v>259</v>
      </c>
      <c r="F37" s="8" t="s">
        <v>260</v>
      </c>
      <c r="G37" s="8" t="s">
        <v>261</v>
      </c>
      <c r="H37" s="7">
        <v>1.0</v>
      </c>
      <c r="I37" s="10">
        <v>0.22</v>
      </c>
      <c r="J37" s="10">
        <f t="shared" si="3"/>
        <v>0.22</v>
      </c>
      <c r="K37" s="7" t="s">
        <v>237</v>
      </c>
      <c r="L37" s="7" t="s">
        <v>179</v>
      </c>
      <c r="M37" s="7" t="s">
        <v>180</v>
      </c>
      <c r="N37" s="8" t="s">
        <v>262</v>
      </c>
      <c r="O37" s="9" t="s">
        <v>263</v>
      </c>
      <c r="P37" s="7" t="s">
        <v>31</v>
      </c>
      <c r="Q37" s="9" t="s">
        <v>264</v>
      </c>
    </row>
    <row r="38" ht="18.75" customHeight="1">
      <c r="A38" s="11">
        <v>32.0</v>
      </c>
      <c r="B38" s="12" t="s">
        <v>265</v>
      </c>
      <c r="C38" s="13" t="s">
        <v>266</v>
      </c>
      <c r="D38" s="12" t="s">
        <v>160</v>
      </c>
      <c r="E38" s="12" t="s">
        <v>226</v>
      </c>
      <c r="F38" s="12" t="s">
        <v>162</v>
      </c>
      <c r="G38" s="12" t="s">
        <v>244</v>
      </c>
      <c r="H38" s="11">
        <v>4.0</v>
      </c>
      <c r="I38" s="14">
        <v>0.02</v>
      </c>
      <c r="J38" s="14">
        <f t="shared" si="3"/>
        <v>0.08</v>
      </c>
      <c r="K38" s="11" t="s">
        <v>228</v>
      </c>
      <c r="L38" s="11" t="s">
        <v>164</v>
      </c>
      <c r="M38" s="11" t="s">
        <v>229</v>
      </c>
      <c r="N38" s="12" t="s">
        <v>230</v>
      </c>
      <c r="O38" s="13" t="s">
        <v>267</v>
      </c>
      <c r="P38" s="11" t="s">
        <v>31</v>
      </c>
      <c r="Q38" s="13" t="s">
        <v>232</v>
      </c>
    </row>
    <row r="39" ht="27.75" customHeight="1">
      <c r="A39" s="7">
        <v>33.0</v>
      </c>
      <c r="B39" s="8" t="s">
        <v>268</v>
      </c>
      <c r="C39" s="9" t="s">
        <v>269</v>
      </c>
      <c r="D39" s="8" t="s">
        <v>160</v>
      </c>
      <c r="E39" s="8" t="s">
        <v>226</v>
      </c>
      <c r="F39" s="8" t="s">
        <v>162</v>
      </c>
      <c r="G39" s="8" t="s">
        <v>244</v>
      </c>
      <c r="H39" s="7">
        <v>4.0</v>
      </c>
      <c r="I39" s="10">
        <v>0.02</v>
      </c>
      <c r="J39" s="10">
        <f t="shared" si="3"/>
        <v>0.08</v>
      </c>
      <c r="K39" s="7" t="s">
        <v>228</v>
      </c>
      <c r="L39" s="7" t="s">
        <v>164</v>
      </c>
      <c r="M39" s="7" t="s">
        <v>229</v>
      </c>
      <c r="N39" s="8" t="s">
        <v>230</v>
      </c>
      <c r="O39" s="9" t="s">
        <v>270</v>
      </c>
      <c r="P39" s="7" t="s">
        <v>31</v>
      </c>
      <c r="Q39" s="9" t="s">
        <v>232</v>
      </c>
    </row>
    <row r="40" ht="36.75" customHeight="1">
      <c r="A40" s="11">
        <v>34.0</v>
      </c>
      <c r="B40" s="12" t="s">
        <v>271</v>
      </c>
      <c r="C40" s="13" t="s">
        <v>272</v>
      </c>
      <c r="D40" s="12" t="s">
        <v>160</v>
      </c>
      <c r="E40" s="12" t="s">
        <v>273</v>
      </c>
      <c r="F40" s="12" t="s">
        <v>162</v>
      </c>
      <c r="G40" s="12" t="s">
        <v>274</v>
      </c>
      <c r="H40" s="11">
        <v>4.0</v>
      </c>
      <c r="I40" s="14">
        <v>0.03</v>
      </c>
      <c r="J40" s="14">
        <f t="shared" si="3"/>
        <v>0.12</v>
      </c>
      <c r="K40" s="11" t="s">
        <v>275</v>
      </c>
      <c r="L40" s="11" t="s">
        <v>164</v>
      </c>
      <c r="M40" s="11" t="s">
        <v>276</v>
      </c>
      <c r="N40" s="12" t="s">
        <v>277</v>
      </c>
      <c r="O40" s="13" t="s">
        <v>278</v>
      </c>
      <c r="P40" s="11" t="s">
        <v>31</v>
      </c>
      <c r="Q40" s="13" t="s">
        <v>279</v>
      </c>
    </row>
    <row r="41" ht="36.75" customHeight="1">
      <c r="A41" s="7">
        <v>35.0</v>
      </c>
      <c r="B41" s="8" t="s">
        <v>280</v>
      </c>
      <c r="C41" s="9" t="s">
        <v>281</v>
      </c>
      <c r="D41" s="8" t="s">
        <v>160</v>
      </c>
      <c r="E41" s="8" t="s">
        <v>282</v>
      </c>
      <c r="F41" s="8" t="s">
        <v>162</v>
      </c>
      <c r="G41" s="8" t="s">
        <v>283</v>
      </c>
      <c r="H41" s="7">
        <v>4.0</v>
      </c>
      <c r="I41" s="10">
        <v>0.04</v>
      </c>
      <c r="J41" s="10">
        <f t="shared" si="3"/>
        <v>0.16</v>
      </c>
      <c r="K41" s="7" t="s">
        <v>275</v>
      </c>
      <c r="L41" s="7" t="s">
        <v>164</v>
      </c>
      <c r="M41" s="7" t="s">
        <v>276</v>
      </c>
      <c r="N41" s="8" t="s">
        <v>277</v>
      </c>
      <c r="O41" s="9" t="s">
        <v>284</v>
      </c>
      <c r="P41" s="7" t="s">
        <v>31</v>
      </c>
      <c r="Q41" s="9" t="s">
        <v>282</v>
      </c>
    </row>
    <row r="42" ht="36.75" customHeight="1">
      <c r="A42" s="11">
        <v>36.0</v>
      </c>
      <c r="B42" s="12" t="s">
        <v>285</v>
      </c>
      <c r="C42" s="13" t="s">
        <v>286</v>
      </c>
      <c r="D42" s="12" t="s">
        <v>160</v>
      </c>
      <c r="E42" s="12" t="s">
        <v>287</v>
      </c>
      <c r="F42" s="12" t="s">
        <v>162</v>
      </c>
      <c r="G42" s="12" t="s">
        <v>288</v>
      </c>
      <c r="H42" s="11">
        <v>2.0</v>
      </c>
      <c r="I42" s="14">
        <v>0.04</v>
      </c>
      <c r="J42" s="14">
        <f t="shared" si="3"/>
        <v>0.08</v>
      </c>
      <c r="K42" s="11" t="s">
        <v>275</v>
      </c>
      <c r="L42" s="11" t="s">
        <v>164</v>
      </c>
      <c r="M42" s="11" t="s">
        <v>276</v>
      </c>
      <c r="N42" s="12" t="s">
        <v>289</v>
      </c>
      <c r="O42" s="13" t="s">
        <v>290</v>
      </c>
      <c r="P42" s="11" t="s">
        <v>31</v>
      </c>
      <c r="Q42" s="13" t="s">
        <v>287</v>
      </c>
    </row>
    <row r="43" ht="27.75" customHeight="1">
      <c r="A43" s="7">
        <v>37.0</v>
      </c>
      <c r="B43" s="8" t="s">
        <v>291</v>
      </c>
      <c r="C43" s="9" t="s">
        <v>292</v>
      </c>
      <c r="D43" s="8" t="s">
        <v>258</v>
      </c>
      <c r="E43" s="8" t="s">
        <v>293</v>
      </c>
      <c r="F43" s="8" t="s">
        <v>294</v>
      </c>
      <c r="G43" s="8" t="s">
        <v>295</v>
      </c>
      <c r="H43" s="7">
        <v>2.0</v>
      </c>
      <c r="I43" s="10">
        <v>0.28</v>
      </c>
      <c r="J43" s="10">
        <f t="shared" si="3"/>
        <v>0.56</v>
      </c>
      <c r="K43" s="7" t="s">
        <v>237</v>
      </c>
      <c r="L43" s="7" t="s">
        <v>179</v>
      </c>
      <c r="M43" s="7" t="s">
        <v>180</v>
      </c>
      <c r="N43" s="8" t="s">
        <v>262</v>
      </c>
      <c r="O43" s="9" t="s">
        <v>296</v>
      </c>
      <c r="P43" s="7" t="s">
        <v>31</v>
      </c>
      <c r="Q43" s="9" t="s">
        <v>297</v>
      </c>
    </row>
    <row r="44" ht="27.75" customHeight="1">
      <c r="A44" s="11">
        <v>38.0</v>
      </c>
      <c r="B44" s="12" t="s">
        <v>298</v>
      </c>
      <c r="C44" s="13" t="s">
        <v>299</v>
      </c>
      <c r="D44" s="12" t="s">
        <v>160</v>
      </c>
      <c r="E44" s="12" t="s">
        <v>300</v>
      </c>
      <c r="F44" s="12" t="s">
        <v>192</v>
      </c>
      <c r="G44" s="12" t="s">
        <v>301</v>
      </c>
      <c r="H44" s="11">
        <v>4.0</v>
      </c>
      <c r="I44" s="14">
        <v>0.05</v>
      </c>
      <c r="J44" s="14">
        <f t="shared" si="3"/>
        <v>0.2</v>
      </c>
      <c r="K44" s="11" t="s">
        <v>237</v>
      </c>
      <c r="L44" s="11" t="s">
        <v>238</v>
      </c>
      <c r="M44" s="11" t="s">
        <v>229</v>
      </c>
      <c r="N44" s="12" t="s">
        <v>230</v>
      </c>
      <c r="O44" s="13" t="s">
        <v>302</v>
      </c>
      <c r="P44" s="11" t="s">
        <v>31</v>
      </c>
      <c r="Q44" s="13" t="s">
        <v>303</v>
      </c>
    </row>
    <row r="45" ht="27.75" customHeight="1">
      <c r="A45" s="7">
        <v>39.0</v>
      </c>
      <c r="B45" s="8" t="s">
        <v>304</v>
      </c>
      <c r="C45" s="9" t="s">
        <v>305</v>
      </c>
      <c r="D45" s="8" t="s">
        <v>243</v>
      </c>
      <c r="E45" s="8" t="s">
        <v>306</v>
      </c>
      <c r="F45" s="8" t="s">
        <v>192</v>
      </c>
      <c r="G45" s="8" t="s">
        <v>307</v>
      </c>
      <c r="H45" s="7">
        <v>4.0</v>
      </c>
      <c r="I45" s="10">
        <v>0.06</v>
      </c>
      <c r="J45" s="10">
        <f t="shared" si="3"/>
        <v>0.24</v>
      </c>
      <c r="K45" s="7" t="s">
        <v>237</v>
      </c>
      <c r="L45" s="7" t="s">
        <v>238</v>
      </c>
      <c r="M45" s="7" t="s">
        <v>229</v>
      </c>
      <c r="N45" s="8" t="s">
        <v>230</v>
      </c>
      <c r="O45" s="9" t="s">
        <v>308</v>
      </c>
      <c r="P45" s="7" t="s">
        <v>31</v>
      </c>
      <c r="Q45" s="9" t="s">
        <v>309</v>
      </c>
    </row>
    <row r="46" ht="18.75" customHeight="1">
      <c r="A46" s="11">
        <v>40.0</v>
      </c>
      <c r="B46" s="12" t="s">
        <v>310</v>
      </c>
      <c r="C46" s="13" t="s">
        <v>311</v>
      </c>
      <c r="D46" s="12" t="s">
        <v>160</v>
      </c>
      <c r="E46" s="12" t="s">
        <v>226</v>
      </c>
      <c r="F46" s="12" t="s">
        <v>162</v>
      </c>
      <c r="G46" s="12" t="s">
        <v>244</v>
      </c>
      <c r="H46" s="11">
        <v>4.0</v>
      </c>
      <c r="I46" s="14">
        <v>0.02</v>
      </c>
      <c r="J46" s="14">
        <f t="shared" si="3"/>
        <v>0.08</v>
      </c>
      <c r="K46" s="11" t="s">
        <v>228</v>
      </c>
      <c r="L46" s="11" t="s">
        <v>164</v>
      </c>
      <c r="M46" s="11" t="s">
        <v>229</v>
      </c>
      <c r="N46" s="12" t="s">
        <v>230</v>
      </c>
      <c r="O46" s="13" t="s">
        <v>312</v>
      </c>
      <c r="P46" s="11" t="s">
        <v>31</v>
      </c>
      <c r="Q46" s="13" t="s">
        <v>232</v>
      </c>
    </row>
    <row r="47" ht="36.75" customHeight="1">
      <c r="A47" s="7">
        <v>41.0</v>
      </c>
      <c r="B47" s="8" t="s">
        <v>313</v>
      </c>
      <c r="C47" s="9" t="s">
        <v>314</v>
      </c>
      <c r="D47" s="8" t="s">
        <v>160</v>
      </c>
      <c r="E47" s="8" t="s">
        <v>315</v>
      </c>
      <c r="F47" s="8" t="s">
        <v>316</v>
      </c>
      <c r="G47" s="8" t="s">
        <v>317</v>
      </c>
      <c r="H47" s="7">
        <v>2.0</v>
      </c>
      <c r="I47" s="10">
        <v>0.12</v>
      </c>
      <c r="J47" s="10">
        <f t="shared" si="3"/>
        <v>0.24</v>
      </c>
      <c r="K47" s="7" t="s">
        <v>228</v>
      </c>
      <c r="L47" s="7" t="s">
        <v>238</v>
      </c>
      <c r="M47" s="7" t="s">
        <v>229</v>
      </c>
      <c r="N47" s="8" t="s">
        <v>230</v>
      </c>
      <c r="O47" s="9" t="s">
        <v>318</v>
      </c>
      <c r="P47" s="7" t="s">
        <v>31</v>
      </c>
      <c r="Q47" s="9" t="s">
        <v>319</v>
      </c>
    </row>
    <row r="48" ht="16.5" customHeight="1">
      <c r="A48" s="6" t="s">
        <v>320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36.75" customHeight="1">
      <c r="A49" s="11">
        <v>42.0</v>
      </c>
      <c r="B49" s="12" t="s">
        <v>321</v>
      </c>
      <c r="C49" s="13" t="s">
        <v>322</v>
      </c>
      <c r="D49" s="12" t="s">
        <v>323</v>
      </c>
      <c r="E49" s="12" t="s">
        <v>324</v>
      </c>
      <c r="F49" s="12" t="s">
        <v>162</v>
      </c>
      <c r="G49" s="12" t="s">
        <v>325</v>
      </c>
      <c r="H49" s="11">
        <v>8.0</v>
      </c>
      <c r="I49" s="14">
        <v>0.01</v>
      </c>
      <c r="J49" s="14">
        <f t="shared" ref="J49:J60" si="4">H49*I49</f>
        <v>0.08</v>
      </c>
      <c r="K49" s="11" t="s">
        <v>275</v>
      </c>
      <c r="L49" s="11" t="s">
        <v>326</v>
      </c>
      <c r="M49" s="11" t="s">
        <v>327</v>
      </c>
      <c r="N49" s="12" t="s">
        <v>328</v>
      </c>
      <c r="O49" s="13" t="s">
        <v>329</v>
      </c>
      <c r="P49" s="11" t="s">
        <v>31</v>
      </c>
      <c r="Q49" s="13" t="s">
        <v>330</v>
      </c>
    </row>
    <row r="50" ht="27.75" customHeight="1">
      <c r="A50" s="7">
        <v>43.0</v>
      </c>
      <c r="B50" s="8" t="s">
        <v>331</v>
      </c>
      <c r="C50" s="9" t="s">
        <v>332</v>
      </c>
      <c r="D50" s="8" t="s">
        <v>323</v>
      </c>
      <c r="E50" s="8" t="s">
        <v>333</v>
      </c>
      <c r="F50" s="8" t="s">
        <v>162</v>
      </c>
      <c r="G50" s="8" t="s">
        <v>334</v>
      </c>
      <c r="H50" s="7">
        <v>4.0</v>
      </c>
      <c r="I50" s="10">
        <v>0.01</v>
      </c>
      <c r="J50" s="10">
        <f t="shared" si="4"/>
        <v>0.04</v>
      </c>
      <c r="K50" s="7" t="s">
        <v>275</v>
      </c>
      <c r="L50" s="7" t="s">
        <v>326</v>
      </c>
      <c r="M50" s="7" t="s">
        <v>327</v>
      </c>
      <c r="N50" s="8" t="s">
        <v>328</v>
      </c>
      <c r="O50" s="9" t="s">
        <v>335</v>
      </c>
      <c r="P50" s="7" t="s">
        <v>31</v>
      </c>
      <c r="Q50" s="9" t="s">
        <v>336</v>
      </c>
    </row>
    <row r="51" ht="54.75" customHeight="1">
      <c r="A51" s="11">
        <v>44.0</v>
      </c>
      <c r="B51" s="12" t="s">
        <v>337</v>
      </c>
      <c r="C51" s="13" t="s">
        <v>338</v>
      </c>
      <c r="D51" s="12" t="s">
        <v>323</v>
      </c>
      <c r="E51" s="12" t="s">
        <v>339</v>
      </c>
      <c r="F51" s="12" t="s">
        <v>162</v>
      </c>
      <c r="G51" s="12" t="s">
        <v>340</v>
      </c>
      <c r="H51" s="11">
        <v>9.0</v>
      </c>
      <c r="I51" s="14">
        <v>0.01</v>
      </c>
      <c r="J51" s="14">
        <f t="shared" si="4"/>
        <v>0.09</v>
      </c>
      <c r="K51" s="11" t="s">
        <v>275</v>
      </c>
      <c r="L51" s="11" t="s">
        <v>326</v>
      </c>
      <c r="M51" s="11" t="s">
        <v>327</v>
      </c>
      <c r="N51" s="12" t="s">
        <v>328</v>
      </c>
      <c r="O51" s="13" t="s">
        <v>341</v>
      </c>
      <c r="P51" s="11" t="s">
        <v>31</v>
      </c>
      <c r="Q51" s="13" t="s">
        <v>342</v>
      </c>
    </row>
    <row r="52" ht="45.75" customHeight="1">
      <c r="A52" s="7">
        <v>45.0</v>
      </c>
      <c r="B52" s="8" t="s">
        <v>343</v>
      </c>
      <c r="C52" s="9" t="s">
        <v>344</v>
      </c>
      <c r="D52" s="8" t="s">
        <v>323</v>
      </c>
      <c r="E52" s="8" t="s">
        <v>345</v>
      </c>
      <c r="F52" s="8" t="s">
        <v>162</v>
      </c>
      <c r="G52" s="8" t="s">
        <v>346</v>
      </c>
      <c r="H52" s="7">
        <v>4.0</v>
      </c>
      <c r="I52" s="10">
        <v>0.01</v>
      </c>
      <c r="J52" s="10">
        <f t="shared" si="4"/>
        <v>0.04</v>
      </c>
      <c r="K52" s="7" t="s">
        <v>275</v>
      </c>
      <c r="L52" s="7" t="s">
        <v>326</v>
      </c>
      <c r="M52" s="7" t="s">
        <v>327</v>
      </c>
      <c r="N52" s="8" t="s">
        <v>328</v>
      </c>
      <c r="O52" s="9" t="s">
        <v>347</v>
      </c>
      <c r="P52" s="7" t="s">
        <v>31</v>
      </c>
      <c r="Q52" s="9" t="s">
        <v>348</v>
      </c>
    </row>
    <row r="53" ht="36.75" customHeight="1">
      <c r="A53" s="11">
        <v>46.0</v>
      </c>
      <c r="B53" s="12" t="s">
        <v>349</v>
      </c>
      <c r="C53" s="13" t="s">
        <v>350</v>
      </c>
      <c r="D53" s="12" t="s">
        <v>323</v>
      </c>
      <c r="E53" s="12" t="s">
        <v>324</v>
      </c>
      <c r="F53" s="12" t="s">
        <v>162</v>
      </c>
      <c r="G53" s="12" t="s">
        <v>351</v>
      </c>
      <c r="H53" s="11">
        <v>2.0</v>
      </c>
      <c r="I53" s="14">
        <v>0.01</v>
      </c>
      <c r="J53" s="14">
        <f t="shared" si="4"/>
        <v>0.02</v>
      </c>
      <c r="K53" s="11" t="s">
        <v>275</v>
      </c>
      <c r="L53" s="11" t="s">
        <v>326</v>
      </c>
      <c r="M53" s="11" t="s">
        <v>327</v>
      </c>
      <c r="N53" s="12" t="s">
        <v>328</v>
      </c>
      <c r="O53" s="13" t="s">
        <v>352</v>
      </c>
      <c r="P53" s="11" t="s">
        <v>31</v>
      </c>
      <c r="Q53" s="13" t="s">
        <v>330</v>
      </c>
    </row>
    <row r="54" ht="27.75" customHeight="1">
      <c r="A54" s="7">
        <v>47.0</v>
      </c>
      <c r="B54" s="8" t="s">
        <v>353</v>
      </c>
      <c r="C54" s="9" t="s">
        <v>354</v>
      </c>
      <c r="D54" s="8" t="s">
        <v>323</v>
      </c>
      <c r="E54" s="8" t="s">
        <v>355</v>
      </c>
      <c r="F54" s="8" t="s">
        <v>162</v>
      </c>
      <c r="G54" s="8" t="s">
        <v>356</v>
      </c>
      <c r="H54" s="7">
        <v>1.0</v>
      </c>
      <c r="I54" s="10">
        <v>0.01</v>
      </c>
      <c r="J54" s="10">
        <f t="shared" si="4"/>
        <v>0.01</v>
      </c>
      <c r="K54" s="7" t="s">
        <v>275</v>
      </c>
      <c r="L54" s="7" t="s">
        <v>326</v>
      </c>
      <c r="M54" s="7" t="s">
        <v>327</v>
      </c>
      <c r="N54" s="8" t="s">
        <v>328</v>
      </c>
      <c r="O54" s="9" t="s">
        <v>357</v>
      </c>
      <c r="P54" s="7" t="s">
        <v>31</v>
      </c>
      <c r="Q54" s="9" t="s">
        <v>358</v>
      </c>
    </row>
    <row r="55" ht="36.75" customHeight="1">
      <c r="A55" s="11">
        <v>48.0</v>
      </c>
      <c r="B55" s="12" t="s">
        <v>359</v>
      </c>
      <c r="C55" s="13" t="s">
        <v>360</v>
      </c>
      <c r="D55" s="12" t="s">
        <v>323</v>
      </c>
      <c r="E55" s="12" t="s">
        <v>361</v>
      </c>
      <c r="F55" s="12" t="s">
        <v>162</v>
      </c>
      <c r="G55" s="12" t="s">
        <v>362</v>
      </c>
      <c r="H55" s="11">
        <v>2.0</v>
      </c>
      <c r="I55" s="14">
        <v>0.01</v>
      </c>
      <c r="J55" s="14">
        <f t="shared" si="4"/>
        <v>0.02</v>
      </c>
      <c r="K55" s="11" t="s">
        <v>275</v>
      </c>
      <c r="L55" s="11" t="s">
        <v>326</v>
      </c>
      <c r="M55" s="11" t="s">
        <v>327</v>
      </c>
      <c r="N55" s="12" t="s">
        <v>328</v>
      </c>
      <c r="O55" s="13" t="s">
        <v>363</v>
      </c>
      <c r="P55" s="11" t="s">
        <v>31</v>
      </c>
      <c r="Q55" s="13" t="s">
        <v>364</v>
      </c>
    </row>
    <row r="56" ht="36.75" customHeight="1">
      <c r="A56" s="7">
        <v>49.0</v>
      </c>
      <c r="B56" s="8" t="s">
        <v>365</v>
      </c>
      <c r="C56" s="9" t="s">
        <v>366</v>
      </c>
      <c r="D56" s="8" t="s">
        <v>160</v>
      </c>
      <c r="E56" s="8" t="s">
        <v>367</v>
      </c>
      <c r="F56" s="8" t="s">
        <v>162</v>
      </c>
      <c r="G56" s="8" t="s">
        <v>368</v>
      </c>
      <c r="H56" s="7">
        <v>1.0</v>
      </c>
      <c r="I56" s="10">
        <v>0.15</v>
      </c>
      <c r="J56" s="10">
        <f t="shared" si="4"/>
        <v>0.15</v>
      </c>
      <c r="K56" s="7" t="s">
        <v>28</v>
      </c>
      <c r="L56" s="7" t="s">
        <v>369</v>
      </c>
      <c r="M56" s="7" t="s">
        <v>327</v>
      </c>
      <c r="N56" s="8" t="s">
        <v>370</v>
      </c>
      <c r="O56" s="9" t="s">
        <v>371</v>
      </c>
      <c r="P56" s="7" t="s">
        <v>31</v>
      </c>
      <c r="Q56" s="9" t="s">
        <v>372</v>
      </c>
    </row>
    <row r="57" ht="36.75" customHeight="1">
      <c r="A57" s="11">
        <v>50.0</v>
      </c>
      <c r="B57" s="12" t="s">
        <v>373</v>
      </c>
      <c r="C57" s="13" t="s">
        <v>374</v>
      </c>
      <c r="D57" s="12" t="s">
        <v>323</v>
      </c>
      <c r="E57" s="12" t="s">
        <v>375</v>
      </c>
      <c r="F57" s="12" t="s">
        <v>162</v>
      </c>
      <c r="G57" s="12" t="s">
        <v>376</v>
      </c>
      <c r="H57" s="11">
        <v>2.0</v>
      </c>
      <c r="I57" s="14">
        <v>0.01</v>
      </c>
      <c r="J57" s="14">
        <f t="shared" si="4"/>
        <v>0.02</v>
      </c>
      <c r="K57" s="11" t="s">
        <v>275</v>
      </c>
      <c r="L57" s="11" t="s">
        <v>326</v>
      </c>
      <c r="M57" s="11" t="s">
        <v>327</v>
      </c>
      <c r="N57" s="12" t="s">
        <v>328</v>
      </c>
      <c r="O57" s="13" t="s">
        <v>377</v>
      </c>
      <c r="P57" s="11" t="s">
        <v>31</v>
      </c>
      <c r="Q57" s="13" t="s">
        <v>378</v>
      </c>
    </row>
    <row r="58" ht="27.75" customHeight="1">
      <c r="A58" s="7">
        <v>51.0</v>
      </c>
      <c r="B58" s="8" t="s">
        <v>379</v>
      </c>
      <c r="C58" s="9" t="s">
        <v>380</v>
      </c>
      <c r="D58" s="8" t="s">
        <v>323</v>
      </c>
      <c r="E58" s="8" t="s">
        <v>381</v>
      </c>
      <c r="F58" s="8" t="s">
        <v>162</v>
      </c>
      <c r="G58" s="8" t="s">
        <v>382</v>
      </c>
      <c r="H58" s="7">
        <v>3.0</v>
      </c>
      <c r="I58" s="10">
        <v>0.01</v>
      </c>
      <c r="J58" s="10">
        <f t="shared" si="4"/>
        <v>0.03</v>
      </c>
      <c r="K58" s="7" t="s">
        <v>275</v>
      </c>
      <c r="L58" s="7" t="s">
        <v>326</v>
      </c>
      <c r="M58" s="7" t="s">
        <v>28</v>
      </c>
      <c r="N58" s="8" t="s">
        <v>328</v>
      </c>
      <c r="O58" s="9" t="s">
        <v>383</v>
      </c>
      <c r="P58" s="7" t="s">
        <v>31</v>
      </c>
      <c r="Q58" s="9" t="s">
        <v>28</v>
      </c>
    </row>
    <row r="59" ht="36.75" customHeight="1">
      <c r="A59" s="11">
        <v>52.0</v>
      </c>
      <c r="B59" s="12" t="s">
        <v>384</v>
      </c>
      <c r="C59" s="13" t="s">
        <v>385</v>
      </c>
      <c r="D59" s="12" t="s">
        <v>323</v>
      </c>
      <c r="E59" s="12" t="s">
        <v>345</v>
      </c>
      <c r="F59" s="12" t="s">
        <v>162</v>
      </c>
      <c r="G59" s="12" t="s">
        <v>346</v>
      </c>
      <c r="H59" s="11">
        <v>2.0</v>
      </c>
      <c r="I59" s="14">
        <v>0.01</v>
      </c>
      <c r="J59" s="14">
        <f t="shared" si="4"/>
        <v>0.02</v>
      </c>
      <c r="K59" s="11" t="s">
        <v>275</v>
      </c>
      <c r="L59" s="11" t="s">
        <v>326</v>
      </c>
      <c r="M59" s="11" t="s">
        <v>327</v>
      </c>
      <c r="N59" s="12" t="s">
        <v>328</v>
      </c>
      <c r="O59" s="13" t="s">
        <v>386</v>
      </c>
      <c r="P59" s="11" t="s">
        <v>31</v>
      </c>
      <c r="Q59" s="13" t="s">
        <v>348</v>
      </c>
    </row>
    <row r="60" ht="27.75" customHeight="1">
      <c r="A60" s="7">
        <v>53.0</v>
      </c>
      <c r="B60" s="8" t="s">
        <v>387</v>
      </c>
      <c r="C60" s="9" t="s">
        <v>388</v>
      </c>
      <c r="D60" s="8" t="s">
        <v>323</v>
      </c>
      <c r="E60" s="8" t="s">
        <v>389</v>
      </c>
      <c r="F60" s="8" t="s">
        <v>162</v>
      </c>
      <c r="G60" s="8" t="s">
        <v>390</v>
      </c>
      <c r="H60" s="7">
        <v>2.0</v>
      </c>
      <c r="I60" s="10">
        <v>0.01</v>
      </c>
      <c r="J60" s="10">
        <f t="shared" si="4"/>
        <v>0.02</v>
      </c>
      <c r="K60" s="7" t="s">
        <v>275</v>
      </c>
      <c r="L60" s="7" t="s">
        <v>326</v>
      </c>
      <c r="M60" s="7" t="s">
        <v>327</v>
      </c>
      <c r="N60" s="8" t="s">
        <v>328</v>
      </c>
      <c r="O60" s="9" t="s">
        <v>391</v>
      </c>
      <c r="P60" s="7" t="s">
        <v>31</v>
      </c>
      <c r="Q60" s="9" t="s">
        <v>392</v>
      </c>
    </row>
    <row r="61" ht="16.5" customHeight="1">
      <c r="A61" s="6" t="s">
        <v>393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ht="36.75" customHeight="1">
      <c r="A62" s="11">
        <v>54.0</v>
      </c>
      <c r="B62" s="12" t="s">
        <v>394</v>
      </c>
      <c r="C62" s="13" t="s">
        <v>395</v>
      </c>
      <c r="D62" s="12" t="s">
        <v>396</v>
      </c>
      <c r="E62" s="12" t="s">
        <v>397</v>
      </c>
      <c r="F62" s="12" t="s">
        <v>398</v>
      </c>
      <c r="G62" s="12" t="s">
        <v>399</v>
      </c>
      <c r="H62" s="11">
        <v>1.0</v>
      </c>
      <c r="I62" s="14">
        <v>0.55</v>
      </c>
      <c r="J62" s="14">
        <f t="shared" ref="J62:J67" si="5">H62*I62</f>
        <v>0.55</v>
      </c>
      <c r="K62" s="11" t="s">
        <v>400</v>
      </c>
      <c r="L62" s="11" t="s">
        <v>27</v>
      </c>
      <c r="M62" s="11" t="s">
        <v>28</v>
      </c>
      <c r="N62" s="12" t="s">
        <v>401</v>
      </c>
      <c r="O62" s="13" t="s">
        <v>402</v>
      </c>
      <c r="P62" s="11" t="s">
        <v>31</v>
      </c>
      <c r="Q62" s="13" t="s">
        <v>403</v>
      </c>
    </row>
    <row r="63" ht="36.75" customHeight="1">
      <c r="A63" s="7">
        <v>55.0</v>
      </c>
      <c r="B63" s="8" t="s">
        <v>404</v>
      </c>
      <c r="C63" s="9" t="s">
        <v>405</v>
      </c>
      <c r="D63" s="8" t="s">
        <v>406</v>
      </c>
      <c r="E63" s="8" t="s">
        <v>407</v>
      </c>
      <c r="F63" s="8" t="s">
        <v>408</v>
      </c>
      <c r="G63" s="8" t="s">
        <v>409</v>
      </c>
      <c r="H63" s="7">
        <v>1.0</v>
      </c>
      <c r="I63" s="10">
        <v>0.22</v>
      </c>
      <c r="J63" s="10">
        <f t="shared" si="5"/>
        <v>0.22</v>
      </c>
      <c r="K63" s="7" t="s">
        <v>410</v>
      </c>
      <c r="L63" s="7" t="s">
        <v>195</v>
      </c>
      <c r="M63" s="7" t="s">
        <v>28</v>
      </c>
      <c r="N63" s="8" t="s">
        <v>401</v>
      </c>
      <c r="O63" s="9" t="s">
        <v>411</v>
      </c>
      <c r="P63" s="7" t="s">
        <v>31</v>
      </c>
      <c r="Q63" s="9" t="s">
        <v>412</v>
      </c>
    </row>
    <row r="64" ht="45.75" customHeight="1">
      <c r="A64" s="11">
        <v>56.0</v>
      </c>
      <c r="B64" s="12" t="s">
        <v>413</v>
      </c>
      <c r="C64" s="13" t="s">
        <v>414</v>
      </c>
      <c r="D64" s="12" t="s">
        <v>415</v>
      </c>
      <c r="E64" s="12" t="s">
        <v>416</v>
      </c>
      <c r="F64" s="12" t="s">
        <v>417</v>
      </c>
      <c r="G64" s="12" t="s">
        <v>418</v>
      </c>
      <c r="H64" s="11">
        <v>1.0</v>
      </c>
      <c r="I64" s="14">
        <v>1.2</v>
      </c>
      <c r="J64" s="14">
        <f t="shared" si="5"/>
        <v>1.2</v>
      </c>
      <c r="K64" s="11" t="s">
        <v>419</v>
      </c>
      <c r="L64" s="11" t="s">
        <v>164</v>
      </c>
      <c r="M64" s="11" t="s">
        <v>28</v>
      </c>
      <c r="N64" s="12" t="s">
        <v>401</v>
      </c>
      <c r="O64" s="13" t="s">
        <v>420</v>
      </c>
      <c r="P64" s="11" t="s">
        <v>31</v>
      </c>
      <c r="Q64" s="13" t="s">
        <v>421</v>
      </c>
    </row>
    <row r="65" ht="36.75" customHeight="1">
      <c r="A65" s="7">
        <v>57.0</v>
      </c>
      <c r="B65" s="8" t="s">
        <v>422</v>
      </c>
      <c r="C65" s="9" t="s">
        <v>423</v>
      </c>
      <c r="D65" s="8" t="s">
        <v>424</v>
      </c>
      <c r="E65" s="8" t="s">
        <v>425</v>
      </c>
      <c r="F65" s="8" t="s">
        <v>426</v>
      </c>
      <c r="G65" s="8" t="s">
        <v>427</v>
      </c>
      <c r="H65" s="7">
        <v>1.0</v>
      </c>
      <c r="I65" s="10">
        <v>0.55</v>
      </c>
      <c r="J65" s="10">
        <f t="shared" si="5"/>
        <v>0.55</v>
      </c>
      <c r="K65" s="7" t="s">
        <v>428</v>
      </c>
      <c r="L65" s="7" t="s">
        <v>27</v>
      </c>
      <c r="M65" s="7" t="s">
        <v>28</v>
      </c>
      <c r="N65" s="8" t="s">
        <v>429</v>
      </c>
      <c r="O65" s="9" t="s">
        <v>430</v>
      </c>
      <c r="P65" s="7" t="s">
        <v>31</v>
      </c>
      <c r="Q65" s="9" t="s">
        <v>431</v>
      </c>
    </row>
    <row r="66" ht="36.75" customHeight="1">
      <c r="A66" s="11">
        <v>58.0</v>
      </c>
      <c r="B66" s="12" t="s">
        <v>432</v>
      </c>
      <c r="C66" s="13" t="s">
        <v>433</v>
      </c>
      <c r="D66" s="12" t="s">
        <v>424</v>
      </c>
      <c r="E66" s="12" t="s">
        <v>425</v>
      </c>
      <c r="F66" s="12" t="s">
        <v>426</v>
      </c>
      <c r="G66" s="12" t="s">
        <v>434</v>
      </c>
      <c r="H66" s="11">
        <v>1.0</v>
      </c>
      <c r="I66" s="14">
        <v>0.55</v>
      </c>
      <c r="J66" s="14">
        <f t="shared" si="5"/>
        <v>0.55</v>
      </c>
      <c r="K66" s="11" t="s">
        <v>428</v>
      </c>
      <c r="L66" s="11" t="s">
        <v>27</v>
      </c>
      <c r="M66" s="11" t="s">
        <v>28</v>
      </c>
      <c r="N66" s="12" t="s">
        <v>429</v>
      </c>
      <c r="O66" s="13" t="s">
        <v>435</v>
      </c>
      <c r="P66" s="11" t="s">
        <v>31</v>
      </c>
      <c r="Q66" s="13" t="s">
        <v>431</v>
      </c>
    </row>
    <row r="67" ht="63.75" customHeight="1">
      <c r="A67" s="7">
        <v>59.0</v>
      </c>
      <c r="B67" s="8" t="s">
        <v>436</v>
      </c>
      <c r="C67" s="9" t="s">
        <v>437</v>
      </c>
      <c r="D67" s="8" t="s">
        <v>438</v>
      </c>
      <c r="E67" s="8" t="s">
        <v>439</v>
      </c>
      <c r="F67" s="8" t="s">
        <v>440</v>
      </c>
      <c r="G67" s="8" t="s">
        <v>441</v>
      </c>
      <c r="H67" s="7">
        <v>1.0</v>
      </c>
      <c r="I67" s="10">
        <v>2.85</v>
      </c>
      <c r="J67" s="10">
        <f t="shared" si="5"/>
        <v>2.85</v>
      </c>
      <c r="K67" s="7" t="s">
        <v>442</v>
      </c>
      <c r="L67" s="7" t="s">
        <v>27</v>
      </c>
      <c r="M67" s="7" t="s">
        <v>28</v>
      </c>
      <c r="N67" s="8" t="s">
        <v>443</v>
      </c>
      <c r="O67" s="9" t="s">
        <v>444</v>
      </c>
      <c r="P67" s="7" t="s">
        <v>31</v>
      </c>
      <c r="Q67" s="9" t="s">
        <v>445</v>
      </c>
    </row>
    <row r="68" ht="16.5" customHeight="1">
      <c r="A68" s="6" t="s">
        <v>446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ht="54.75" customHeight="1">
      <c r="A69" s="11">
        <v>60.0</v>
      </c>
      <c r="B69" s="12" t="s">
        <v>447</v>
      </c>
      <c r="C69" s="13" t="s">
        <v>448</v>
      </c>
      <c r="D69" s="12" t="s">
        <v>449</v>
      </c>
      <c r="E69" s="12" t="s">
        <v>450</v>
      </c>
      <c r="F69" s="12" t="s">
        <v>451</v>
      </c>
      <c r="G69" s="12" t="s">
        <v>452</v>
      </c>
      <c r="H69" s="11">
        <v>1.0</v>
      </c>
      <c r="I69" s="14">
        <v>0.38</v>
      </c>
      <c r="J69" s="14">
        <f t="shared" ref="J69:J73" si="6">H69*I69</f>
        <v>0.38</v>
      </c>
      <c r="K69" s="11" t="s">
        <v>453</v>
      </c>
      <c r="L69" s="11" t="s">
        <v>27</v>
      </c>
      <c r="M69" s="11" t="s">
        <v>28</v>
      </c>
      <c r="N69" s="12" t="s">
        <v>454</v>
      </c>
      <c r="O69" s="13" t="s">
        <v>455</v>
      </c>
      <c r="P69" s="11" t="s">
        <v>31</v>
      </c>
      <c r="Q69" s="13" t="s">
        <v>456</v>
      </c>
    </row>
    <row r="70" ht="27.75" customHeight="1">
      <c r="A70" s="7">
        <v>61.0</v>
      </c>
      <c r="B70" s="8" t="s">
        <v>457</v>
      </c>
      <c r="C70" s="9" t="s">
        <v>458</v>
      </c>
      <c r="D70" s="8" t="s">
        <v>459</v>
      </c>
      <c r="E70" s="8" t="s">
        <v>460</v>
      </c>
      <c r="F70" s="8" t="s">
        <v>192</v>
      </c>
      <c r="G70" s="8" t="s">
        <v>461</v>
      </c>
      <c r="H70" s="7">
        <v>1.0</v>
      </c>
      <c r="I70" s="10">
        <v>0.12</v>
      </c>
      <c r="J70" s="10">
        <f t="shared" si="6"/>
        <v>0.12</v>
      </c>
      <c r="K70" s="7" t="s">
        <v>453</v>
      </c>
      <c r="L70" s="7" t="s">
        <v>27</v>
      </c>
      <c r="M70" s="7" t="s">
        <v>28</v>
      </c>
      <c r="N70" s="8" t="s">
        <v>462</v>
      </c>
      <c r="O70" s="9" t="s">
        <v>463</v>
      </c>
      <c r="P70" s="7" t="s">
        <v>31</v>
      </c>
      <c r="Q70" s="9" t="s">
        <v>464</v>
      </c>
    </row>
    <row r="71" ht="36.75" customHeight="1">
      <c r="A71" s="11">
        <v>62.0</v>
      </c>
      <c r="B71" s="12" t="s">
        <v>465</v>
      </c>
      <c r="C71" s="13" t="s">
        <v>466</v>
      </c>
      <c r="D71" s="12" t="s">
        <v>459</v>
      </c>
      <c r="E71" s="12" t="s">
        <v>467</v>
      </c>
      <c r="F71" s="12" t="s">
        <v>192</v>
      </c>
      <c r="G71" s="12" t="s">
        <v>468</v>
      </c>
      <c r="H71" s="11">
        <v>1.0</v>
      </c>
      <c r="I71" s="14">
        <v>0.12</v>
      </c>
      <c r="J71" s="14">
        <f t="shared" si="6"/>
        <v>0.12</v>
      </c>
      <c r="K71" s="11" t="s">
        <v>453</v>
      </c>
      <c r="L71" s="11" t="s">
        <v>27</v>
      </c>
      <c r="M71" s="11" t="s">
        <v>28</v>
      </c>
      <c r="N71" s="12" t="s">
        <v>469</v>
      </c>
      <c r="O71" s="13" t="s">
        <v>470</v>
      </c>
      <c r="P71" s="11" t="s">
        <v>31</v>
      </c>
      <c r="Q71" s="13" t="s">
        <v>471</v>
      </c>
    </row>
    <row r="72" ht="27.75" customHeight="1">
      <c r="A72" s="7">
        <v>63.0</v>
      </c>
      <c r="B72" s="8" t="s">
        <v>472</v>
      </c>
      <c r="C72" s="9" t="s">
        <v>473</v>
      </c>
      <c r="D72" s="8" t="s">
        <v>459</v>
      </c>
      <c r="E72" s="8" t="s">
        <v>460</v>
      </c>
      <c r="F72" s="8" t="s">
        <v>192</v>
      </c>
      <c r="G72" s="8" t="s">
        <v>474</v>
      </c>
      <c r="H72" s="7">
        <v>1.0</v>
      </c>
      <c r="I72" s="10">
        <v>0.12</v>
      </c>
      <c r="J72" s="10">
        <f t="shared" si="6"/>
        <v>0.12</v>
      </c>
      <c r="K72" s="7" t="s">
        <v>453</v>
      </c>
      <c r="L72" s="7" t="s">
        <v>27</v>
      </c>
      <c r="M72" s="7" t="s">
        <v>28</v>
      </c>
      <c r="N72" s="8" t="s">
        <v>462</v>
      </c>
      <c r="O72" s="9" t="s">
        <v>475</v>
      </c>
      <c r="P72" s="7" t="s">
        <v>31</v>
      </c>
      <c r="Q72" s="9" t="s">
        <v>464</v>
      </c>
    </row>
    <row r="73" ht="36.75" customHeight="1">
      <c r="A73" s="11">
        <v>64.0</v>
      </c>
      <c r="B73" s="12" t="s">
        <v>476</v>
      </c>
      <c r="C73" s="13" t="s">
        <v>477</v>
      </c>
      <c r="D73" s="12" t="s">
        <v>449</v>
      </c>
      <c r="E73" s="12" t="s">
        <v>450</v>
      </c>
      <c r="F73" s="12" t="s">
        <v>451</v>
      </c>
      <c r="G73" s="12" t="s">
        <v>478</v>
      </c>
      <c r="H73" s="11">
        <v>1.0</v>
      </c>
      <c r="I73" s="14">
        <v>0.38</v>
      </c>
      <c r="J73" s="14">
        <f t="shared" si="6"/>
        <v>0.38</v>
      </c>
      <c r="K73" s="11" t="s">
        <v>453</v>
      </c>
      <c r="L73" s="11" t="s">
        <v>27</v>
      </c>
      <c r="M73" s="11" t="s">
        <v>28</v>
      </c>
      <c r="N73" s="12" t="s">
        <v>454</v>
      </c>
      <c r="O73" s="13" t="s">
        <v>479</v>
      </c>
      <c r="P73" s="11" t="s">
        <v>31</v>
      </c>
      <c r="Q73" s="13" t="s">
        <v>456</v>
      </c>
    </row>
    <row r="74" ht="16.5" customHeight="1">
      <c r="A74" s="6" t="s">
        <v>480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ht="27.75" customHeight="1">
      <c r="A75" s="7">
        <v>65.0</v>
      </c>
      <c r="B75" s="8" t="s">
        <v>481</v>
      </c>
      <c r="C75" s="9" t="s">
        <v>482</v>
      </c>
      <c r="D75" s="8" t="s">
        <v>483</v>
      </c>
      <c r="E75" s="8" t="s">
        <v>484</v>
      </c>
      <c r="F75" s="8" t="s">
        <v>485</v>
      </c>
      <c r="G75" s="8" t="s">
        <v>486</v>
      </c>
      <c r="H75" s="7">
        <v>1.0</v>
      </c>
      <c r="I75" s="10">
        <v>0.35</v>
      </c>
      <c r="J75" s="10">
        <f t="shared" ref="J75:J78" si="7">H75*I75</f>
        <v>0.35</v>
      </c>
      <c r="K75" s="7" t="s">
        <v>487</v>
      </c>
      <c r="L75" s="7" t="s">
        <v>488</v>
      </c>
      <c r="M75" s="7" t="s">
        <v>28</v>
      </c>
      <c r="N75" s="8" t="s">
        <v>489</v>
      </c>
      <c r="O75" s="9" t="s">
        <v>490</v>
      </c>
      <c r="P75" s="7" t="s">
        <v>31</v>
      </c>
      <c r="Q75" s="9" t="s">
        <v>491</v>
      </c>
    </row>
    <row r="76" ht="27.75" customHeight="1">
      <c r="A76" s="11">
        <v>66.0</v>
      </c>
      <c r="B76" s="12" t="s">
        <v>492</v>
      </c>
      <c r="C76" s="13" t="s">
        <v>493</v>
      </c>
      <c r="D76" s="12" t="s">
        <v>494</v>
      </c>
      <c r="E76" s="12" t="s">
        <v>495</v>
      </c>
      <c r="F76" s="12" t="s">
        <v>485</v>
      </c>
      <c r="G76" s="12" t="s">
        <v>496</v>
      </c>
      <c r="H76" s="11">
        <v>1.0</v>
      </c>
      <c r="I76" s="14">
        <v>0.35</v>
      </c>
      <c r="J76" s="14">
        <f t="shared" si="7"/>
        <v>0.35</v>
      </c>
      <c r="K76" s="11" t="s">
        <v>487</v>
      </c>
      <c r="L76" s="11" t="s">
        <v>488</v>
      </c>
      <c r="M76" s="11" t="s">
        <v>28</v>
      </c>
      <c r="N76" s="12" t="s">
        <v>489</v>
      </c>
      <c r="O76" s="13" t="s">
        <v>497</v>
      </c>
      <c r="P76" s="11" t="s">
        <v>31</v>
      </c>
      <c r="Q76" s="13" t="s">
        <v>498</v>
      </c>
    </row>
    <row r="77" ht="36.75" customHeight="1">
      <c r="A77" s="7">
        <v>67.0</v>
      </c>
      <c r="B77" s="8" t="s">
        <v>499</v>
      </c>
      <c r="C77" s="9" t="s">
        <v>500</v>
      </c>
      <c r="D77" s="8" t="s">
        <v>494</v>
      </c>
      <c r="E77" s="8" t="s">
        <v>501</v>
      </c>
      <c r="F77" s="8" t="s">
        <v>502</v>
      </c>
      <c r="G77" s="8" t="s">
        <v>503</v>
      </c>
      <c r="H77" s="7">
        <v>2.0</v>
      </c>
      <c r="I77" s="10">
        <v>0.15</v>
      </c>
      <c r="J77" s="10">
        <f t="shared" si="7"/>
        <v>0.3</v>
      </c>
      <c r="K77" s="7" t="s">
        <v>504</v>
      </c>
      <c r="L77" s="7" t="s">
        <v>505</v>
      </c>
      <c r="M77" s="7" t="s">
        <v>28</v>
      </c>
      <c r="N77" s="8" t="s">
        <v>506</v>
      </c>
      <c r="O77" s="9" t="s">
        <v>507</v>
      </c>
      <c r="P77" s="7" t="s">
        <v>31</v>
      </c>
      <c r="Q77" s="9" t="s">
        <v>508</v>
      </c>
    </row>
    <row r="78" ht="45.75" customHeight="1">
      <c r="A78" s="11">
        <v>68.0</v>
      </c>
      <c r="B78" s="12" t="s">
        <v>509</v>
      </c>
      <c r="C78" s="13" t="s">
        <v>510</v>
      </c>
      <c r="D78" s="12" t="s">
        <v>511</v>
      </c>
      <c r="E78" s="12" t="s">
        <v>512</v>
      </c>
      <c r="F78" s="12" t="s">
        <v>513</v>
      </c>
      <c r="G78" s="12" t="s">
        <v>514</v>
      </c>
      <c r="H78" s="11">
        <v>1.0</v>
      </c>
      <c r="I78" s="14">
        <v>0.28</v>
      </c>
      <c r="J78" s="14">
        <f t="shared" si="7"/>
        <v>0.28</v>
      </c>
      <c r="K78" s="11" t="s">
        <v>515</v>
      </c>
      <c r="L78" s="11" t="s">
        <v>27</v>
      </c>
      <c r="M78" s="11" t="s">
        <v>28</v>
      </c>
      <c r="N78" s="12" t="s">
        <v>516</v>
      </c>
      <c r="O78" s="13" t="s">
        <v>517</v>
      </c>
      <c r="P78" s="11" t="s">
        <v>31</v>
      </c>
      <c r="Q78" s="13" t="s">
        <v>518</v>
      </c>
    </row>
    <row r="79" ht="15.0" customHeight="1">
      <c r="A79" s="15" t="s">
        <v>519</v>
      </c>
      <c r="B79" s="2"/>
      <c r="C79" s="2"/>
      <c r="D79" s="2"/>
      <c r="E79" s="2"/>
      <c r="F79" s="2"/>
      <c r="G79" s="3"/>
      <c r="H79" s="16">
        <f>SUM(H4:H78)</f>
        <v>148</v>
      </c>
      <c r="I79" s="17"/>
      <c r="J79" s="16">
        <f>SUM(J4:J78)</f>
        <v>74.75</v>
      </c>
      <c r="K79" s="17"/>
      <c r="L79" s="17"/>
      <c r="M79" s="17"/>
      <c r="N79" s="17"/>
      <c r="O79" s="17"/>
      <c r="P79" s="17"/>
      <c r="Q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</row>
  </sheetData>
  <autoFilter ref="$A$3:$Q$78"/>
  <mergeCells count="3">
    <mergeCell ref="A1:R1"/>
    <mergeCell ref="A2:R2"/>
    <mergeCell ref="A79:G7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631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3" width="13.0"/>
    <col customWidth="1" min="4" max="5" width="12.0"/>
    <col customWidth="1" min="6" max="7" width="14.0"/>
    <col customWidth="1" min="8" max="8" width="12.0"/>
    <col customWidth="1" min="9" max="26" width="8.71"/>
  </cols>
  <sheetData>
    <row r="1" ht="27.75" customHeight="1">
      <c r="A1" s="18" t="s">
        <v>520</v>
      </c>
      <c r="B1" s="2"/>
      <c r="C1" s="2"/>
      <c r="D1" s="2"/>
      <c r="E1" s="2"/>
      <c r="F1" s="2"/>
      <c r="G1" s="2"/>
      <c r="H1" s="3"/>
    </row>
    <row r="2" ht="13.5" customHeight="1">
      <c r="A2" s="19" t="s">
        <v>521</v>
      </c>
      <c r="B2" s="2"/>
      <c r="C2" s="2"/>
      <c r="D2" s="2"/>
      <c r="E2" s="2"/>
      <c r="F2" s="2"/>
      <c r="G2" s="2"/>
      <c r="H2" s="3"/>
    </row>
    <row r="3" ht="16.5" customHeight="1">
      <c r="A3" s="20" t="s">
        <v>522</v>
      </c>
      <c r="B3" s="2"/>
      <c r="C3" s="2"/>
      <c r="D3" s="2"/>
      <c r="E3" s="2"/>
      <c r="F3" s="2"/>
      <c r="G3" s="2"/>
      <c r="H3" s="3"/>
    </row>
    <row r="4" ht="21.75" customHeight="1">
      <c r="A4" s="21" t="s">
        <v>523</v>
      </c>
      <c r="B4" s="21" t="s">
        <v>524</v>
      </c>
      <c r="C4" s="21" t="s">
        <v>525</v>
      </c>
      <c r="D4" s="21" t="s">
        <v>526</v>
      </c>
      <c r="E4" s="17"/>
      <c r="F4" s="17"/>
      <c r="G4" s="17"/>
      <c r="H4" s="17"/>
    </row>
    <row r="5" ht="36.75" customHeight="1">
      <c r="A5" s="22" t="s">
        <v>527</v>
      </c>
      <c r="B5" s="23">
        <v>3000.0</v>
      </c>
      <c r="C5" s="24" t="s">
        <v>528</v>
      </c>
      <c r="D5" s="25" t="s">
        <v>529</v>
      </c>
      <c r="E5" s="26"/>
      <c r="F5" s="26"/>
      <c r="G5" s="26"/>
      <c r="H5" s="26"/>
    </row>
    <row r="6" ht="18.75" customHeight="1">
      <c r="A6" s="22" t="s">
        <v>530</v>
      </c>
      <c r="B6" s="23">
        <v>3.7</v>
      </c>
      <c r="C6" s="24" t="s">
        <v>531</v>
      </c>
      <c r="D6" s="25" t="s">
        <v>532</v>
      </c>
      <c r="E6" s="26"/>
      <c r="F6" s="26"/>
      <c r="G6" s="26"/>
      <c r="H6" s="26"/>
    </row>
    <row r="7" ht="36.75" customHeight="1">
      <c r="A7" s="22" t="s">
        <v>533</v>
      </c>
      <c r="B7" s="27">
        <v>0.88</v>
      </c>
      <c r="C7" s="24" t="s">
        <v>534</v>
      </c>
      <c r="D7" s="25" t="s">
        <v>535</v>
      </c>
      <c r="E7" s="26"/>
      <c r="F7" s="26"/>
      <c r="G7" s="26"/>
      <c r="H7" s="26"/>
    </row>
    <row r="8" ht="27.75" customHeight="1">
      <c r="A8" s="22" t="s">
        <v>536</v>
      </c>
      <c r="B8" s="28">
        <v>0.85</v>
      </c>
      <c r="C8" s="24" t="s">
        <v>537</v>
      </c>
      <c r="D8" s="25" t="s">
        <v>538</v>
      </c>
      <c r="E8" s="26"/>
      <c r="F8" s="26"/>
      <c r="G8" s="26"/>
      <c r="H8" s="26"/>
    </row>
    <row r="9" ht="36.75" customHeight="1">
      <c r="A9" s="22" t="s">
        <v>539</v>
      </c>
      <c r="B9" s="28">
        <v>0.92</v>
      </c>
      <c r="C9" s="24" t="s">
        <v>537</v>
      </c>
      <c r="D9" s="25" t="s">
        <v>540</v>
      </c>
      <c r="E9" s="26"/>
      <c r="F9" s="26"/>
      <c r="G9" s="26"/>
      <c r="H9" s="26"/>
    </row>
    <row r="10" ht="36.75" customHeight="1">
      <c r="A10" s="22" t="s">
        <v>541</v>
      </c>
      <c r="B10" s="23">
        <v>2.0</v>
      </c>
      <c r="C10" s="24" t="s">
        <v>542</v>
      </c>
      <c r="D10" s="25" t="s">
        <v>543</v>
      </c>
      <c r="E10" s="26"/>
      <c r="F10" s="26"/>
      <c r="G10" s="26"/>
      <c r="H10" s="26"/>
    </row>
    <row r="11" ht="45.75" customHeight="1">
      <c r="A11" s="22" t="s">
        <v>544</v>
      </c>
      <c r="B11" s="23">
        <v>2.1</v>
      </c>
      <c r="C11" s="24" t="s">
        <v>545</v>
      </c>
      <c r="D11" s="25" t="s">
        <v>546</v>
      </c>
      <c r="E11" s="26"/>
      <c r="F11" s="26"/>
      <c r="G11" s="26"/>
      <c r="H11" s="26"/>
    </row>
    <row r="12" ht="54.75" customHeight="1">
      <c r="A12" s="22" t="s">
        <v>547</v>
      </c>
      <c r="B12" s="29">
        <v>320.0</v>
      </c>
      <c r="C12" s="24" t="s">
        <v>548</v>
      </c>
      <c r="D12" s="25" t="s">
        <v>549</v>
      </c>
      <c r="E12" s="26"/>
      <c r="F12" s="26"/>
      <c r="G12" s="26"/>
      <c r="H12" s="26"/>
    </row>
    <row r="13" ht="36.75" customHeight="1">
      <c r="A13" s="22" t="s">
        <v>550</v>
      </c>
      <c r="B13" s="29">
        <v>0.05</v>
      </c>
      <c r="C13" s="24" t="s">
        <v>548</v>
      </c>
      <c r="D13" s="25" t="s">
        <v>551</v>
      </c>
      <c r="E13" s="26"/>
      <c r="F13" s="26"/>
      <c r="G13" s="26"/>
      <c r="H13" s="26"/>
    </row>
    <row r="14" ht="36.75" customHeight="1">
      <c r="A14" s="22" t="s">
        <v>552</v>
      </c>
      <c r="B14" s="29">
        <v>5.5</v>
      </c>
      <c r="C14" s="24" t="s">
        <v>548</v>
      </c>
      <c r="D14" s="25" t="s">
        <v>553</v>
      </c>
      <c r="E14" s="26"/>
      <c r="F14" s="26"/>
      <c r="G14" s="26"/>
      <c r="H14" s="26"/>
    </row>
    <row r="15" ht="27.75" customHeight="1">
      <c r="A15" s="22" t="s">
        <v>554</v>
      </c>
      <c r="B15" s="29">
        <v>9.0E-4</v>
      </c>
      <c r="C15" s="24" t="s">
        <v>548</v>
      </c>
      <c r="D15" s="25" t="s">
        <v>555</v>
      </c>
      <c r="E15" s="26"/>
      <c r="F15" s="26"/>
      <c r="G15" s="26"/>
      <c r="H15" s="26"/>
    </row>
    <row r="16" ht="27.75" customHeight="1">
      <c r="A16" s="22" t="s">
        <v>556</v>
      </c>
      <c r="B16" s="29">
        <v>0.0025</v>
      </c>
      <c r="C16" s="24" t="s">
        <v>548</v>
      </c>
      <c r="D16" s="25" t="s">
        <v>557</v>
      </c>
      <c r="E16" s="26"/>
      <c r="F16" s="26"/>
      <c r="G16" s="26"/>
      <c r="H16" s="26"/>
    </row>
    <row r="17" ht="45.75" customHeight="1">
      <c r="A17" s="22" t="s">
        <v>558</v>
      </c>
      <c r="B17" s="29">
        <v>0.025</v>
      </c>
      <c r="C17" s="24" t="s">
        <v>548</v>
      </c>
      <c r="D17" s="25" t="s">
        <v>559</v>
      </c>
      <c r="E17" s="26"/>
      <c r="F17" s="26"/>
      <c r="G17" s="26"/>
      <c r="H17" s="26"/>
    </row>
    <row r="18" ht="45.75" customHeight="1">
      <c r="A18" s="22" t="s">
        <v>560</v>
      </c>
      <c r="B18" s="29">
        <v>0.015</v>
      </c>
      <c r="C18" s="24" t="s">
        <v>548</v>
      </c>
      <c r="D18" s="25" t="s">
        <v>561</v>
      </c>
      <c r="E18" s="26"/>
      <c r="F18" s="26"/>
      <c r="G18" s="26"/>
      <c r="H18" s="26"/>
    </row>
    <row r="19" ht="45.75" customHeight="1">
      <c r="A19" s="22" t="s">
        <v>562</v>
      </c>
      <c r="B19" s="29">
        <v>0.0015</v>
      </c>
      <c r="C19" s="24" t="s">
        <v>548</v>
      </c>
      <c r="D19" s="25" t="s">
        <v>563</v>
      </c>
      <c r="E19" s="26"/>
      <c r="F19" s="26"/>
      <c r="G19" s="26"/>
      <c r="H19" s="26"/>
    </row>
    <row r="20" ht="36.75" customHeight="1">
      <c r="A20" s="22" t="s">
        <v>564</v>
      </c>
      <c r="B20" s="29">
        <v>0.005</v>
      </c>
      <c r="C20" s="24" t="s">
        <v>548</v>
      </c>
      <c r="D20" s="25" t="s">
        <v>565</v>
      </c>
      <c r="E20" s="26"/>
      <c r="F20" s="26"/>
      <c r="G20" s="26"/>
      <c r="H20" s="26"/>
    </row>
    <row r="21" ht="27.75" customHeight="1">
      <c r="A21" s="22" t="s">
        <v>566</v>
      </c>
      <c r="B21" s="29">
        <v>3.6E-4</v>
      </c>
      <c r="C21" s="24" t="s">
        <v>548</v>
      </c>
      <c r="D21" s="25" t="s">
        <v>567</v>
      </c>
      <c r="E21" s="26"/>
      <c r="F21" s="26"/>
      <c r="G21" s="26"/>
      <c r="H21" s="26"/>
    </row>
    <row r="22" ht="45.75" customHeight="1">
      <c r="A22" s="22" t="s">
        <v>568</v>
      </c>
      <c r="B22" s="29">
        <v>0.07</v>
      </c>
      <c r="C22" s="24" t="s">
        <v>548</v>
      </c>
      <c r="D22" s="25" t="s">
        <v>569</v>
      </c>
      <c r="E22" s="26"/>
      <c r="F22" s="26"/>
      <c r="G22" s="26"/>
      <c r="H22" s="26"/>
    </row>
    <row r="23" ht="45.75" customHeight="1">
      <c r="A23" s="22" t="s">
        <v>570</v>
      </c>
      <c r="B23" s="29">
        <v>0.002</v>
      </c>
      <c r="C23" s="24" t="s">
        <v>548</v>
      </c>
      <c r="D23" s="25" t="s">
        <v>571</v>
      </c>
      <c r="E23" s="26"/>
      <c r="F23" s="26"/>
      <c r="G23" s="26"/>
      <c r="H23" s="26"/>
    </row>
    <row r="24" ht="27.75" customHeight="1">
      <c r="A24" s="30" t="s">
        <v>572</v>
      </c>
      <c r="B24" s="31" t="s">
        <v>573</v>
      </c>
      <c r="C24" s="24" t="s">
        <v>574</v>
      </c>
      <c r="D24" s="25" t="s">
        <v>575</v>
      </c>
      <c r="E24" s="26"/>
      <c r="F24" s="26"/>
      <c r="G24" s="26"/>
      <c r="H24" s="26"/>
    </row>
    <row r="25" ht="45.75" customHeight="1">
      <c r="A25" s="22" t="s">
        <v>576</v>
      </c>
      <c r="B25" s="23">
        <v>700.0</v>
      </c>
      <c r="C25" s="24" t="s">
        <v>528</v>
      </c>
      <c r="D25" s="25" t="s">
        <v>577</v>
      </c>
      <c r="E25" s="26"/>
      <c r="F25" s="26"/>
      <c r="G25" s="26"/>
      <c r="H25" s="26"/>
    </row>
    <row r="26" ht="45.75" customHeight="1">
      <c r="A26" s="22" t="s">
        <v>578</v>
      </c>
      <c r="B26" s="23">
        <v>1.0</v>
      </c>
      <c r="C26" s="24" t="s">
        <v>579</v>
      </c>
      <c r="D26" s="25" t="s">
        <v>580</v>
      </c>
      <c r="E26" s="26"/>
      <c r="F26" s="26"/>
      <c r="G26" s="26"/>
      <c r="H26" s="26"/>
    </row>
    <row r="27" ht="45.75" customHeight="1">
      <c r="A27" s="30" t="s">
        <v>581</v>
      </c>
      <c r="B27" s="31" t="s">
        <v>582</v>
      </c>
      <c r="C27" s="24"/>
      <c r="D27" s="25" t="s">
        <v>583</v>
      </c>
      <c r="E27" s="26"/>
      <c r="F27" s="26"/>
      <c r="G27" s="26"/>
      <c r="H27" s="26"/>
    </row>
    <row r="28" ht="45.75" customHeight="1">
      <c r="A28" s="22" t="s">
        <v>584</v>
      </c>
      <c r="B28" s="23">
        <v>4.5</v>
      </c>
      <c r="C28" s="24" t="s">
        <v>585</v>
      </c>
      <c r="D28" s="25" t="s">
        <v>586</v>
      </c>
      <c r="E28" s="26"/>
      <c r="F28" s="26"/>
      <c r="G28" s="26"/>
      <c r="H28" s="26"/>
    </row>
    <row r="29" ht="45.75" customHeight="1">
      <c r="A29" s="30" t="s">
        <v>587</v>
      </c>
      <c r="B29" s="31" t="s">
        <v>28</v>
      </c>
      <c r="C29" s="24"/>
      <c r="D29" s="25" t="s">
        <v>588</v>
      </c>
      <c r="E29" s="26"/>
      <c r="F29" s="26"/>
      <c r="G29" s="26"/>
      <c r="H29" s="26"/>
    </row>
    <row r="30" ht="15.75" customHeight="1">
      <c r="A30" s="17"/>
      <c r="B30" s="17"/>
      <c r="C30" s="17"/>
      <c r="D30" s="17"/>
      <c r="E30" s="17"/>
      <c r="F30" s="17"/>
      <c r="G30" s="17"/>
      <c r="H30" s="17"/>
    </row>
    <row r="31" ht="16.5" customHeight="1">
      <c r="A31" s="20" t="s">
        <v>589</v>
      </c>
      <c r="B31" s="2"/>
      <c r="C31" s="2"/>
      <c r="D31" s="2"/>
      <c r="E31" s="2"/>
      <c r="F31" s="2"/>
      <c r="G31" s="2"/>
      <c r="H31" s="3"/>
    </row>
    <row r="32" ht="21.75" customHeight="1">
      <c r="A32" s="21" t="s">
        <v>590</v>
      </c>
      <c r="B32" s="21" t="s">
        <v>591</v>
      </c>
      <c r="C32" s="21" t="s">
        <v>592</v>
      </c>
      <c r="D32" s="21" t="s">
        <v>526</v>
      </c>
      <c r="E32" s="17"/>
      <c r="F32" s="17"/>
      <c r="G32" s="17"/>
      <c r="H32" s="17"/>
    </row>
    <row r="33" ht="27.75" customHeight="1">
      <c r="A33" s="32" t="s">
        <v>593</v>
      </c>
      <c r="B33" s="33">
        <v>0.0025</v>
      </c>
      <c r="C33" s="32" t="s">
        <v>594</v>
      </c>
      <c r="D33" s="34" t="s">
        <v>595</v>
      </c>
      <c r="E33" s="17"/>
      <c r="F33" s="17"/>
      <c r="G33" s="17"/>
      <c r="H33" s="17"/>
    </row>
    <row r="34" ht="18.75" customHeight="1">
      <c r="A34" s="35" t="s">
        <v>596</v>
      </c>
      <c r="B34" s="36">
        <v>9.0E-4</v>
      </c>
      <c r="C34" s="35" t="s">
        <v>597</v>
      </c>
      <c r="D34" s="25" t="s">
        <v>598</v>
      </c>
      <c r="E34" s="17"/>
      <c r="F34" s="17"/>
      <c r="G34" s="17"/>
      <c r="H34" s="17"/>
    </row>
    <row r="35" ht="36.75" customHeight="1">
      <c r="A35" s="32" t="s">
        <v>599</v>
      </c>
      <c r="B35" s="33">
        <v>0.025</v>
      </c>
      <c r="C35" s="32" t="s">
        <v>600</v>
      </c>
      <c r="D35" s="34" t="s">
        <v>601</v>
      </c>
      <c r="E35" s="17"/>
      <c r="F35" s="17"/>
      <c r="G35" s="17"/>
      <c r="H35" s="17"/>
    </row>
    <row r="36" ht="36.75" customHeight="1">
      <c r="A36" s="35" t="s">
        <v>602</v>
      </c>
      <c r="B36" s="36">
        <v>0.015</v>
      </c>
      <c r="C36" s="35" t="s">
        <v>603</v>
      </c>
      <c r="D36" s="25" t="s">
        <v>604</v>
      </c>
      <c r="E36" s="17"/>
      <c r="F36" s="17"/>
      <c r="G36" s="17"/>
      <c r="H36" s="17"/>
    </row>
    <row r="37" ht="45.75" customHeight="1">
      <c r="A37" s="32" t="s">
        <v>605</v>
      </c>
      <c r="B37" s="33">
        <v>0.0015</v>
      </c>
      <c r="C37" s="32" t="s">
        <v>606</v>
      </c>
      <c r="D37" s="34" t="s">
        <v>607</v>
      </c>
      <c r="E37" s="17"/>
      <c r="F37" s="17"/>
      <c r="G37" s="17"/>
      <c r="H37" s="17"/>
    </row>
    <row r="38" ht="27.75" customHeight="1">
      <c r="A38" s="35" t="s">
        <v>608</v>
      </c>
      <c r="B38" s="36">
        <v>0.005</v>
      </c>
      <c r="C38" s="35" t="s">
        <v>609</v>
      </c>
      <c r="D38" s="25" t="s">
        <v>610</v>
      </c>
      <c r="E38" s="17"/>
      <c r="F38" s="17"/>
      <c r="G38" s="17"/>
      <c r="H38" s="17"/>
    </row>
    <row r="39" ht="36.75" customHeight="1">
      <c r="A39" s="32" t="s">
        <v>611</v>
      </c>
      <c r="B39" s="33">
        <v>3.6E-4</v>
      </c>
      <c r="C39" s="32" t="s">
        <v>612</v>
      </c>
      <c r="D39" s="34" t="s">
        <v>613</v>
      </c>
      <c r="E39" s="17"/>
      <c r="F39" s="17"/>
      <c r="G39" s="17"/>
      <c r="H39" s="17"/>
    </row>
    <row r="40" ht="36.75" customHeight="1">
      <c r="A40" s="35" t="s">
        <v>614</v>
      </c>
      <c r="B40" s="36">
        <v>0.07</v>
      </c>
      <c r="C40" s="35" t="s">
        <v>615</v>
      </c>
      <c r="D40" s="25" t="s">
        <v>616</v>
      </c>
      <c r="E40" s="17"/>
      <c r="F40" s="17"/>
      <c r="G40" s="17"/>
      <c r="H40" s="17"/>
    </row>
    <row r="41" ht="36.75" customHeight="1">
      <c r="A41" s="32" t="s">
        <v>570</v>
      </c>
      <c r="B41" s="33">
        <v>0.002</v>
      </c>
      <c r="C41" s="32" t="s">
        <v>617</v>
      </c>
      <c r="D41" s="34" t="s">
        <v>618</v>
      </c>
      <c r="E41" s="17"/>
      <c r="F41" s="17"/>
      <c r="G41" s="17"/>
      <c r="H41" s="17"/>
    </row>
    <row r="42" ht="42.75" customHeight="1">
      <c r="A42" s="37" t="s">
        <v>619</v>
      </c>
      <c r="B42" s="38">
        <f>SUM(B33:B41)</f>
        <v>0.12226</v>
      </c>
      <c r="C42" s="39" t="s">
        <v>548</v>
      </c>
      <c r="D42" s="40" t="s">
        <v>620</v>
      </c>
      <c r="E42" s="17"/>
      <c r="F42" s="17"/>
      <c r="G42" s="17"/>
      <c r="H42" s="17"/>
    </row>
    <row r="43" ht="15.0" customHeight="1">
      <c r="A43" s="37" t="s">
        <v>621</v>
      </c>
      <c r="B43" s="41">
        <f>B42*24</f>
        <v>2.93424</v>
      </c>
      <c r="C43" s="39" t="s">
        <v>585</v>
      </c>
      <c r="D43" s="40" t="s">
        <v>622</v>
      </c>
      <c r="E43" s="17"/>
      <c r="F43" s="17"/>
      <c r="G43" s="17"/>
      <c r="H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</row>
    <row r="45" ht="16.5" customHeight="1">
      <c r="A45" s="20" t="s">
        <v>623</v>
      </c>
      <c r="B45" s="2"/>
      <c r="C45" s="2"/>
      <c r="D45" s="2"/>
      <c r="E45" s="2"/>
      <c r="F45" s="2"/>
      <c r="G45" s="2"/>
      <c r="H45" s="3"/>
    </row>
    <row r="46" ht="27.75" customHeight="1">
      <c r="A46" s="21" t="s">
        <v>624</v>
      </c>
      <c r="B46" s="21" t="s">
        <v>625</v>
      </c>
      <c r="C46" s="21" t="s">
        <v>626</v>
      </c>
      <c r="D46" s="21" t="s">
        <v>627</v>
      </c>
      <c r="E46" s="21" t="s">
        <v>628</v>
      </c>
      <c r="F46" s="21" t="s">
        <v>629</v>
      </c>
      <c r="G46" s="21" t="s">
        <v>630</v>
      </c>
      <c r="H46" s="21" t="s">
        <v>526</v>
      </c>
    </row>
    <row r="47" ht="27.75" customHeight="1">
      <c r="A47" s="34" t="s">
        <v>631</v>
      </c>
      <c r="B47" s="42">
        <v>5.0</v>
      </c>
      <c r="C47" s="42">
        <v>0.003</v>
      </c>
      <c r="D47" s="42">
        <v>10.0</v>
      </c>
      <c r="E47" s="33">
        <f t="shared" ref="E47:E61" si="1">B47*C47/3.6</f>
        <v>0.004166666667</v>
      </c>
      <c r="F47" s="42">
        <f t="shared" ref="F47:F61" si="2">E47*D47</f>
        <v>0.04166666667</v>
      </c>
      <c r="G47" s="43">
        <f>IFERROR(F47/SUM(F47:F61),0)</f>
        <v>0.00006371194995</v>
      </c>
      <c r="H47" s="34" t="s">
        <v>632</v>
      </c>
    </row>
    <row r="48" ht="27.75" customHeight="1">
      <c r="A48" s="25" t="s">
        <v>633</v>
      </c>
      <c r="B48" s="44">
        <v>15.0</v>
      </c>
      <c r="C48" s="44">
        <v>0.05</v>
      </c>
      <c r="D48" s="44">
        <v>2.0</v>
      </c>
      <c r="E48" s="36">
        <f t="shared" si="1"/>
        <v>0.2083333333</v>
      </c>
      <c r="F48" s="44">
        <f t="shared" si="2"/>
        <v>0.4166666667</v>
      </c>
      <c r="G48" s="45">
        <f>IFERROR(F48/SUM(F47:F61),0)</f>
        <v>0.0006371194995</v>
      </c>
      <c r="H48" s="25" t="s">
        <v>634</v>
      </c>
    </row>
    <row r="49" ht="27.75" customHeight="1">
      <c r="A49" s="34" t="s">
        <v>635</v>
      </c>
      <c r="B49" s="42">
        <v>20.0</v>
      </c>
      <c r="C49" s="42">
        <v>0.11</v>
      </c>
      <c r="D49" s="42">
        <v>2.0</v>
      </c>
      <c r="E49" s="33">
        <f t="shared" si="1"/>
        <v>0.6111111111</v>
      </c>
      <c r="F49" s="42">
        <f t="shared" si="2"/>
        <v>1.222222222</v>
      </c>
      <c r="G49" s="43">
        <f>IFERROR(F49/SUM(F47:F61),0)</f>
        <v>0.001868883865</v>
      </c>
      <c r="H49" s="34" t="s">
        <v>636</v>
      </c>
    </row>
    <row r="50" ht="27.75" customHeight="1">
      <c r="A50" s="25" t="s">
        <v>637</v>
      </c>
      <c r="B50" s="44">
        <v>5.0</v>
      </c>
      <c r="C50" s="44">
        <v>0.03</v>
      </c>
      <c r="D50" s="44">
        <v>2.0</v>
      </c>
      <c r="E50" s="36">
        <f t="shared" si="1"/>
        <v>0.04166666667</v>
      </c>
      <c r="F50" s="44">
        <f t="shared" si="2"/>
        <v>0.08333333333</v>
      </c>
      <c r="G50" s="45">
        <f>IFERROR(F50/SUM(F47:F61),0)</f>
        <v>0.0001274238999</v>
      </c>
      <c r="H50" s="25" t="s">
        <v>638</v>
      </c>
    </row>
    <row r="51" ht="27.75" customHeight="1">
      <c r="A51" s="34" t="s">
        <v>639</v>
      </c>
      <c r="B51" s="42">
        <v>320.0</v>
      </c>
      <c r="C51" s="42">
        <v>2.1</v>
      </c>
      <c r="D51" s="42">
        <v>2.0</v>
      </c>
      <c r="E51" s="33">
        <f t="shared" si="1"/>
        <v>186.6666667</v>
      </c>
      <c r="F51" s="42">
        <f t="shared" si="2"/>
        <v>373.3333333</v>
      </c>
      <c r="G51" s="43">
        <f>IFERROR(F51/SUM(F47:F61),0)</f>
        <v>0.5708590715</v>
      </c>
      <c r="H51" s="34" t="s">
        <v>640</v>
      </c>
    </row>
    <row r="52" ht="27.75" customHeight="1">
      <c r="A52" s="25" t="s">
        <v>641</v>
      </c>
      <c r="B52" s="44">
        <v>0.05</v>
      </c>
      <c r="C52" s="44">
        <v>2.1</v>
      </c>
      <c r="D52" s="44">
        <v>2.0</v>
      </c>
      <c r="E52" s="36">
        <f t="shared" si="1"/>
        <v>0.02916666667</v>
      </c>
      <c r="F52" s="44">
        <f t="shared" si="2"/>
        <v>0.05833333333</v>
      </c>
      <c r="G52" s="45">
        <f>IFERROR(F52/SUM(F47:F61),0)</f>
        <v>0.00008919672993</v>
      </c>
      <c r="H52" s="25" t="s">
        <v>642</v>
      </c>
    </row>
    <row r="53" ht="27.75" customHeight="1">
      <c r="A53" s="34" t="s">
        <v>643</v>
      </c>
      <c r="B53" s="42">
        <v>5.5</v>
      </c>
      <c r="C53" s="42">
        <v>1.2</v>
      </c>
      <c r="D53" s="42">
        <v>2.0</v>
      </c>
      <c r="E53" s="33">
        <f t="shared" si="1"/>
        <v>1.833333333</v>
      </c>
      <c r="F53" s="42">
        <f t="shared" si="2"/>
        <v>3.666666667</v>
      </c>
      <c r="G53" s="43">
        <f>IFERROR(F53/SUM(F47:F61),0)</f>
        <v>0.005606651596</v>
      </c>
      <c r="H53" s="34" t="s">
        <v>644</v>
      </c>
    </row>
    <row r="54" ht="27.75" customHeight="1">
      <c r="A54" s="25" t="s">
        <v>645</v>
      </c>
      <c r="B54" s="44">
        <v>5.5</v>
      </c>
      <c r="C54" s="44">
        <v>1.2</v>
      </c>
      <c r="D54" s="44">
        <v>2.0</v>
      </c>
      <c r="E54" s="36">
        <f t="shared" si="1"/>
        <v>1.833333333</v>
      </c>
      <c r="F54" s="44">
        <f t="shared" si="2"/>
        <v>3.666666667</v>
      </c>
      <c r="G54" s="45">
        <f>IFERROR(F54/SUM(F47:F61),0)</f>
        <v>0.005606651596</v>
      </c>
      <c r="H54" s="25" t="s">
        <v>646</v>
      </c>
    </row>
    <row r="55" ht="27.75" customHeight="1">
      <c r="A55" s="34" t="s">
        <v>647</v>
      </c>
      <c r="B55" s="42">
        <v>15.0</v>
      </c>
      <c r="C55" s="42">
        <v>0.02</v>
      </c>
      <c r="D55" s="42">
        <v>4.0</v>
      </c>
      <c r="E55" s="33">
        <f t="shared" si="1"/>
        <v>0.08333333333</v>
      </c>
      <c r="F55" s="42">
        <f t="shared" si="2"/>
        <v>0.3333333333</v>
      </c>
      <c r="G55" s="43">
        <f>IFERROR(F55/SUM(F47:F61),0)</f>
        <v>0.0005096955996</v>
      </c>
      <c r="H55" s="34" t="s">
        <v>648</v>
      </c>
    </row>
    <row r="56" ht="27.75" customHeight="1">
      <c r="A56" s="25" t="s">
        <v>649</v>
      </c>
      <c r="B56" s="44">
        <v>10.5</v>
      </c>
      <c r="C56" s="44">
        <v>2.12</v>
      </c>
      <c r="D56" s="44">
        <v>2.24</v>
      </c>
      <c r="E56" s="36">
        <f t="shared" si="1"/>
        <v>6.183333333</v>
      </c>
      <c r="F56" s="44">
        <f t="shared" si="2"/>
        <v>13.85066667</v>
      </c>
      <c r="G56" s="45">
        <f>IFERROR(F56/SUM(F47:F61),0)</f>
        <v>0.02117887155</v>
      </c>
      <c r="H56" s="25" t="s">
        <v>650</v>
      </c>
    </row>
    <row r="57" ht="27.75" customHeight="1">
      <c r="A57" s="34" t="s">
        <v>651</v>
      </c>
      <c r="B57" s="42">
        <v>5.5</v>
      </c>
      <c r="C57" s="42">
        <v>0.02</v>
      </c>
      <c r="D57" s="42">
        <v>84.4</v>
      </c>
      <c r="E57" s="33">
        <f t="shared" si="1"/>
        <v>0.03055555556</v>
      </c>
      <c r="F57" s="42">
        <f t="shared" si="2"/>
        <v>2.578888889</v>
      </c>
      <c r="G57" s="43">
        <f>IFERROR(F57/SUM(F47:F61),0)</f>
        <v>0.003943344956</v>
      </c>
      <c r="H57" s="34" t="s">
        <v>652</v>
      </c>
    </row>
    <row r="58" ht="27.75" customHeight="1">
      <c r="A58" s="25" t="s">
        <v>653</v>
      </c>
      <c r="B58" s="44">
        <v>20.0</v>
      </c>
      <c r="C58" s="44">
        <v>45.0</v>
      </c>
      <c r="D58" s="44">
        <v>1.0</v>
      </c>
      <c r="E58" s="36">
        <f t="shared" si="1"/>
        <v>250</v>
      </c>
      <c r="F58" s="44">
        <f t="shared" si="2"/>
        <v>250</v>
      </c>
      <c r="G58" s="45">
        <f>IFERROR(F58/SUM(F47:F61),0)</f>
        <v>0.3822716997</v>
      </c>
      <c r="H58" s="25" t="s">
        <v>654</v>
      </c>
    </row>
    <row r="59" ht="27.75" customHeight="1">
      <c r="A59" s="34" t="s">
        <v>655</v>
      </c>
      <c r="B59" s="42">
        <v>12.0</v>
      </c>
      <c r="C59" s="42">
        <v>0.1</v>
      </c>
      <c r="D59" s="42">
        <v>0.0</v>
      </c>
      <c r="E59" s="33">
        <f t="shared" si="1"/>
        <v>0.3333333333</v>
      </c>
      <c r="F59" s="42">
        <f t="shared" si="2"/>
        <v>0</v>
      </c>
      <c r="G59" s="43">
        <f>IFERROR(F59/SUM(F47:F61),0)</f>
        <v>0</v>
      </c>
      <c r="H59" s="34" t="s">
        <v>656</v>
      </c>
    </row>
    <row r="60" ht="27.75" customHeight="1">
      <c r="A60" s="25" t="s">
        <v>657</v>
      </c>
      <c r="B60" s="44">
        <v>0.7</v>
      </c>
      <c r="C60" s="44">
        <v>3.0</v>
      </c>
      <c r="D60" s="44">
        <v>8.0</v>
      </c>
      <c r="E60" s="36">
        <f t="shared" si="1"/>
        <v>0.5833333333</v>
      </c>
      <c r="F60" s="44">
        <f t="shared" si="2"/>
        <v>4.666666667</v>
      </c>
      <c r="G60" s="45">
        <f>IFERROR(F60/SUM(F47:F61),0)</f>
        <v>0.007135738394</v>
      </c>
      <c r="H60" s="25" t="s">
        <v>658</v>
      </c>
    </row>
    <row r="61" ht="27.75" customHeight="1">
      <c r="A61" s="34" t="s">
        <v>659</v>
      </c>
      <c r="B61" s="42">
        <v>2.0</v>
      </c>
      <c r="C61" s="42">
        <v>0.005</v>
      </c>
      <c r="D61" s="42">
        <v>24.0</v>
      </c>
      <c r="E61" s="33">
        <f t="shared" si="1"/>
        <v>0.002777777778</v>
      </c>
      <c r="F61" s="42">
        <f t="shared" si="2"/>
        <v>0.06666666667</v>
      </c>
      <c r="G61" s="43">
        <f>IFERROR(F61/SUM(F47:F61),0)</f>
        <v>0.0001019391199</v>
      </c>
      <c r="H61" s="34" t="s">
        <v>660</v>
      </c>
    </row>
    <row r="62" ht="42.75" customHeight="1">
      <c r="A62" s="37" t="s">
        <v>661</v>
      </c>
      <c r="B62" s="17"/>
      <c r="C62" s="17"/>
      <c r="D62" s="17"/>
      <c r="E62" s="17"/>
      <c r="F62" s="41">
        <f>SUM(F47:F61)/1000</f>
        <v>0.6539851111</v>
      </c>
      <c r="G62" s="39" t="s">
        <v>585</v>
      </c>
      <c r="H62" s="40" t="s">
        <v>662</v>
      </c>
    </row>
    <row r="63" ht="15.75" customHeight="1">
      <c r="A63" s="17"/>
      <c r="B63" s="17"/>
      <c r="C63" s="17"/>
      <c r="D63" s="17"/>
      <c r="E63" s="17"/>
      <c r="F63" s="17"/>
      <c r="G63" s="17"/>
      <c r="H63" s="17"/>
    </row>
    <row r="64" ht="16.5" customHeight="1">
      <c r="A64" s="20" t="s">
        <v>663</v>
      </c>
      <c r="B64" s="2"/>
      <c r="C64" s="2"/>
      <c r="D64" s="2"/>
      <c r="E64" s="2"/>
      <c r="F64" s="2"/>
      <c r="G64" s="2"/>
      <c r="H64" s="3"/>
    </row>
    <row r="65" ht="15.0" customHeight="1">
      <c r="A65" s="46" t="s">
        <v>664</v>
      </c>
      <c r="B65" s="47">
        <f>B43</f>
        <v>2.93424</v>
      </c>
      <c r="C65" s="48" t="s">
        <v>585</v>
      </c>
      <c r="D65" s="17"/>
      <c r="E65" s="17"/>
      <c r="F65" s="17"/>
      <c r="G65" s="17"/>
      <c r="H65" s="17"/>
    </row>
    <row r="66" ht="15.0" customHeight="1">
      <c r="A66" s="46" t="s">
        <v>665</v>
      </c>
      <c r="B66" s="47">
        <f>F62</f>
        <v>0.6539851111</v>
      </c>
      <c r="C66" s="48" t="s">
        <v>585</v>
      </c>
      <c r="D66" s="17"/>
      <c r="E66" s="17"/>
      <c r="F66" s="17"/>
      <c r="G66" s="17"/>
      <c r="H66" s="17"/>
    </row>
    <row r="67" ht="95.25" customHeight="1">
      <c r="A67" s="49" t="s">
        <v>666</v>
      </c>
      <c r="B67" s="50">
        <f>B65+B66</f>
        <v>3.588225111</v>
      </c>
      <c r="C67" s="51" t="s">
        <v>585</v>
      </c>
      <c r="D67" s="52" t="s">
        <v>667</v>
      </c>
      <c r="E67" s="17"/>
      <c r="F67" s="17"/>
      <c r="G67" s="17"/>
      <c r="H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</row>
    <row r="69" ht="16.5" customHeight="1">
      <c r="A69" s="20" t="s">
        <v>668</v>
      </c>
      <c r="B69" s="2"/>
      <c r="C69" s="2"/>
      <c r="D69" s="2"/>
      <c r="E69" s="2"/>
      <c r="F69" s="2"/>
      <c r="G69" s="2"/>
      <c r="H69" s="3"/>
    </row>
    <row r="70" ht="15.0" customHeight="1">
      <c r="A70" s="53" t="s">
        <v>669</v>
      </c>
      <c r="B70" s="54"/>
      <c r="C70" s="54"/>
      <c r="D70" s="54"/>
      <c r="E70" s="54"/>
      <c r="F70" s="54"/>
      <c r="G70" s="54"/>
      <c r="H70" s="55"/>
    </row>
    <row r="71" ht="25.5" customHeight="1">
      <c r="A71" s="21" t="s">
        <v>670</v>
      </c>
      <c r="B71" s="21" t="s">
        <v>671</v>
      </c>
      <c r="C71" s="21" t="s">
        <v>672</v>
      </c>
      <c r="D71" s="21" t="s">
        <v>673</v>
      </c>
      <c r="E71" s="21" t="s">
        <v>674</v>
      </c>
      <c r="F71" s="21" t="s">
        <v>675</v>
      </c>
      <c r="G71" s="21" t="s">
        <v>676</v>
      </c>
      <c r="H71" s="21" t="s">
        <v>677</v>
      </c>
    </row>
    <row r="72" ht="15.0" customHeight="1">
      <c r="A72" s="56">
        <v>2500.0</v>
      </c>
      <c r="B72" s="56">
        <v>1870.0</v>
      </c>
      <c r="C72" s="56">
        <f>B67</f>
        <v>3.588225111</v>
      </c>
      <c r="D72" s="56">
        <f>B67*365*0.92</f>
        <v>1204.925992</v>
      </c>
      <c r="E72" s="57">
        <f>1870/B67</f>
        <v>521.1490199</v>
      </c>
      <c r="F72" s="58">
        <f t="shared" ref="F72:F76" si="3">D72/365</f>
        <v>3.301167102</v>
      </c>
      <c r="G72" s="59" t="str">
        <f t="shared" ref="G72:G76" si="4">IF(D72&gt;=365,"✅ PASS — Exceeds 1-Year","❌ FAIL")</f>
        <v>✅ PASS — Exceeds 1-Year</v>
      </c>
      <c r="H72" s="59" t="str">
        <f t="shared" ref="H72:H76" si="5">IF(D72&gt;=730,"🏆 Excellent ≥2yr",IF(D72&gt;=365,"✅ Good ≥1yr","⚠️ Marginal"))</f>
        <v>🏆 Excellent ≥2yr</v>
      </c>
    </row>
    <row r="73" ht="15.0" customHeight="1">
      <c r="A73" s="56">
        <v>2800.0</v>
      </c>
      <c r="B73" s="56">
        <v>2094.4</v>
      </c>
      <c r="C73" s="56">
        <f>B67</f>
        <v>3.588225111</v>
      </c>
      <c r="D73" s="56">
        <f>B67*365*0.92</f>
        <v>1204.925992</v>
      </c>
      <c r="E73" s="57">
        <f>2094.4/B67</f>
        <v>583.6869023</v>
      </c>
      <c r="F73" s="58">
        <f t="shared" si="3"/>
        <v>3.301167102</v>
      </c>
      <c r="G73" s="59" t="str">
        <f t="shared" si="4"/>
        <v>✅ PASS — Exceeds 1-Year</v>
      </c>
      <c r="H73" s="59" t="str">
        <f t="shared" si="5"/>
        <v>🏆 Excellent ≥2yr</v>
      </c>
    </row>
    <row r="74" ht="15.0" customHeight="1">
      <c r="A74" s="60">
        <v>3000.0</v>
      </c>
      <c r="B74" s="60">
        <v>2244.0</v>
      </c>
      <c r="C74" s="60">
        <f>B67</f>
        <v>3.588225111</v>
      </c>
      <c r="D74" s="60">
        <f>B67*365*0.92</f>
        <v>1204.925992</v>
      </c>
      <c r="E74" s="61">
        <f>2244/B67</f>
        <v>625.3788239</v>
      </c>
      <c r="F74" s="62">
        <f t="shared" si="3"/>
        <v>3.301167102</v>
      </c>
      <c r="G74" s="63" t="str">
        <f t="shared" si="4"/>
        <v>✅ PASS — Exceeds 1-Year</v>
      </c>
      <c r="H74" s="63" t="str">
        <f t="shared" si="5"/>
        <v>🏆 Excellent ≥2yr</v>
      </c>
    </row>
    <row r="75" ht="15.0" customHeight="1">
      <c r="A75" s="56">
        <v>3200.0</v>
      </c>
      <c r="B75" s="56">
        <v>2393.6</v>
      </c>
      <c r="C75" s="56">
        <f>B67</f>
        <v>3.588225111</v>
      </c>
      <c r="D75" s="56">
        <f>B67*365*0.92</f>
        <v>1204.925992</v>
      </c>
      <c r="E75" s="57">
        <f>2393.6/B67</f>
        <v>667.0707455</v>
      </c>
      <c r="F75" s="58">
        <f t="shared" si="3"/>
        <v>3.301167102</v>
      </c>
      <c r="G75" s="59" t="str">
        <f t="shared" si="4"/>
        <v>✅ PASS — Exceeds 1-Year</v>
      </c>
      <c r="H75" s="59" t="str">
        <f t="shared" si="5"/>
        <v>🏆 Excellent ≥2yr</v>
      </c>
    </row>
    <row r="76" ht="15.0" customHeight="1">
      <c r="A76" s="56">
        <v>3500.0</v>
      </c>
      <c r="B76" s="56">
        <v>2618.0</v>
      </c>
      <c r="C76" s="56">
        <f>B67</f>
        <v>3.588225111</v>
      </c>
      <c r="D76" s="56">
        <f>B67*365*0.92</f>
        <v>1204.925992</v>
      </c>
      <c r="E76" s="57">
        <f>2618/B67</f>
        <v>729.6086279</v>
      </c>
      <c r="F76" s="58">
        <f t="shared" si="3"/>
        <v>3.301167102</v>
      </c>
      <c r="G76" s="59" t="str">
        <f t="shared" si="4"/>
        <v>✅ PASS — Exceeds 1-Year</v>
      </c>
      <c r="H76" s="59" t="str">
        <f t="shared" si="5"/>
        <v>🏆 Excellent ≥2yr</v>
      </c>
    </row>
    <row r="77" ht="15.75" customHeight="1">
      <c r="A77" s="17"/>
      <c r="B77" s="17"/>
      <c r="C77" s="17"/>
      <c r="D77" s="17"/>
      <c r="E77" s="17"/>
      <c r="F77" s="17"/>
      <c r="G77" s="17"/>
      <c r="H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</row>
    <row r="79" ht="16.5" customHeight="1">
      <c r="A79" s="20" t="s">
        <v>678</v>
      </c>
      <c r="B79" s="2"/>
      <c r="C79" s="2"/>
      <c r="D79" s="2"/>
      <c r="E79" s="2"/>
      <c r="F79" s="2"/>
      <c r="G79" s="2"/>
      <c r="H79" s="3"/>
    </row>
    <row r="80" ht="72.75" customHeight="1">
      <c r="A80" s="37" t="s">
        <v>679</v>
      </c>
      <c r="B80" s="64" t="s">
        <v>680</v>
      </c>
      <c r="C80" s="65" t="s">
        <v>28</v>
      </c>
      <c r="D80" s="66" t="s">
        <v>681</v>
      </c>
      <c r="E80" s="17"/>
      <c r="F80" s="17"/>
      <c r="G80" s="17"/>
      <c r="H80" s="17"/>
    </row>
    <row r="81" ht="45.75" customHeight="1">
      <c r="A81" s="67" t="s">
        <v>682</v>
      </c>
      <c r="B81" s="68" t="s">
        <v>683</v>
      </c>
      <c r="C81" s="69" t="s">
        <v>28</v>
      </c>
      <c r="D81" s="34" t="s">
        <v>684</v>
      </c>
      <c r="E81" s="17"/>
      <c r="F81" s="17"/>
      <c r="G81" s="17"/>
      <c r="H81" s="17"/>
    </row>
    <row r="82" ht="36.75" customHeight="1">
      <c r="A82" s="70" t="s">
        <v>685</v>
      </c>
      <c r="B82" s="71" t="s">
        <v>686</v>
      </c>
      <c r="C82" s="72" t="s">
        <v>28</v>
      </c>
      <c r="D82" s="73" t="s">
        <v>687</v>
      </c>
      <c r="E82" s="17"/>
      <c r="F82" s="17"/>
      <c r="G82" s="17"/>
      <c r="H82" s="17"/>
    </row>
    <row r="83" ht="45.75" customHeight="1">
      <c r="A83" s="74" t="s">
        <v>688</v>
      </c>
      <c r="B83" s="75" t="s">
        <v>689</v>
      </c>
      <c r="C83" s="76" t="s">
        <v>28</v>
      </c>
      <c r="D83" s="77" t="s">
        <v>690</v>
      </c>
      <c r="E83" s="17"/>
      <c r="F83" s="17"/>
      <c r="G83" s="17"/>
      <c r="H83" s="17"/>
    </row>
    <row r="84" ht="74.25" customHeight="1">
      <c r="A84" s="37" t="s">
        <v>688</v>
      </c>
      <c r="B84" s="78">
        <f>B67*1000/24</f>
        <v>149.5093796</v>
      </c>
      <c r="C84" s="39" t="s">
        <v>691</v>
      </c>
      <c r="D84" s="40" t="s">
        <v>692</v>
      </c>
      <c r="E84" s="17"/>
      <c r="F84" s="17"/>
      <c r="G84" s="17"/>
      <c r="H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</row>
  </sheetData>
  <mergeCells count="9">
    <mergeCell ref="A70:H70"/>
    <mergeCell ref="A79:H79"/>
    <mergeCell ref="A1:H1"/>
    <mergeCell ref="A2:H2"/>
    <mergeCell ref="A3:H3"/>
    <mergeCell ref="A31:H31"/>
    <mergeCell ref="A45:H45"/>
    <mergeCell ref="A64:H64"/>
    <mergeCell ref="A69:H6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6914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0.0"/>
    <col customWidth="1" min="3" max="3" width="17.71"/>
    <col customWidth="1" min="4" max="4" width="13.57"/>
    <col customWidth="1" min="5" max="5" width="8.0"/>
    <col customWidth="1" min="6" max="6" width="10.0"/>
    <col customWidth="1" min="7" max="9" width="12.0"/>
    <col customWidth="1" min="10" max="10" width="14.0"/>
    <col customWidth="1" min="11" max="12" width="12.0"/>
    <col customWidth="1" min="13" max="13" width="14.0"/>
    <col customWidth="1" min="14" max="14" width="25.0"/>
    <col customWidth="1" min="15" max="15" width="12.0"/>
    <col customWidth="1" min="16" max="16" width="14.0"/>
    <col customWidth="1" min="17" max="26" width="8.71"/>
  </cols>
  <sheetData>
    <row r="1" ht="27.75" customHeight="1">
      <c r="A1" s="79" t="s">
        <v>693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3.5" customHeight="1">
      <c r="A2" s="80" t="s">
        <v>694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.5" customHeight="1">
      <c r="A3" s="81" t="s">
        <v>695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ht="25.5" customHeight="1">
      <c r="A4" s="82" t="s">
        <v>2</v>
      </c>
      <c r="B4" s="82" t="s">
        <v>696</v>
      </c>
      <c r="C4" s="82" t="s">
        <v>697</v>
      </c>
      <c r="D4" s="82" t="s">
        <v>698</v>
      </c>
      <c r="E4" s="82" t="s">
        <v>699</v>
      </c>
      <c r="F4" s="82" t="s">
        <v>700</v>
      </c>
      <c r="G4" s="82" t="s">
        <v>701</v>
      </c>
      <c r="H4" s="82" t="s">
        <v>702</v>
      </c>
      <c r="I4" s="82" t="s">
        <v>703</v>
      </c>
      <c r="J4" s="82" t="s">
        <v>704</v>
      </c>
      <c r="K4" s="82" t="s">
        <v>705</v>
      </c>
      <c r="L4" s="82" t="s">
        <v>706</v>
      </c>
      <c r="M4" s="82" t="s">
        <v>707</v>
      </c>
      <c r="N4" s="82" t="s">
        <v>708</v>
      </c>
      <c r="O4" s="82" t="s">
        <v>401</v>
      </c>
      <c r="P4" s="82" t="s">
        <v>677</v>
      </c>
    </row>
    <row r="5" ht="27.75" customHeight="1">
      <c r="A5" s="83">
        <v>1.0</v>
      </c>
      <c r="B5" s="84" t="s">
        <v>709</v>
      </c>
      <c r="C5" s="83" t="s">
        <v>710</v>
      </c>
      <c r="D5" s="83" t="s">
        <v>711</v>
      </c>
      <c r="E5" s="83" t="s">
        <v>712</v>
      </c>
      <c r="F5" s="83" t="s">
        <v>713</v>
      </c>
      <c r="G5" s="83" t="s">
        <v>714</v>
      </c>
      <c r="H5" s="83" t="s">
        <v>715</v>
      </c>
      <c r="I5" s="83" t="s">
        <v>716</v>
      </c>
      <c r="J5" s="83" t="s">
        <v>717</v>
      </c>
      <c r="K5" s="83" t="s">
        <v>718</v>
      </c>
      <c r="L5" s="83" t="s">
        <v>719</v>
      </c>
      <c r="M5" s="85" t="s">
        <v>720</v>
      </c>
      <c r="N5" s="86" t="s">
        <v>721</v>
      </c>
      <c r="O5" s="84" t="s">
        <v>722</v>
      </c>
      <c r="P5" s="86" t="s">
        <v>723</v>
      </c>
    </row>
    <row r="6" ht="18.75" customHeight="1">
      <c r="A6" s="7">
        <v>2.0</v>
      </c>
      <c r="B6" s="8" t="s">
        <v>724</v>
      </c>
      <c r="C6" s="7" t="s">
        <v>710</v>
      </c>
      <c r="D6" s="7" t="s">
        <v>711</v>
      </c>
      <c r="E6" s="7" t="s">
        <v>712</v>
      </c>
      <c r="F6" s="7" t="s">
        <v>725</v>
      </c>
      <c r="G6" s="7" t="s">
        <v>726</v>
      </c>
      <c r="H6" s="7" t="s">
        <v>715</v>
      </c>
      <c r="I6" s="7" t="s">
        <v>716</v>
      </c>
      <c r="J6" s="7" t="s">
        <v>717</v>
      </c>
      <c r="K6" s="7" t="s">
        <v>727</v>
      </c>
      <c r="L6" s="7" t="s">
        <v>728</v>
      </c>
      <c r="M6" s="10" t="s">
        <v>729</v>
      </c>
      <c r="N6" s="9" t="s">
        <v>730</v>
      </c>
      <c r="O6" s="8" t="s">
        <v>731</v>
      </c>
      <c r="P6" s="9" t="s">
        <v>732</v>
      </c>
    </row>
    <row r="7" ht="18.75" customHeight="1">
      <c r="A7" s="11">
        <v>3.0</v>
      </c>
      <c r="B7" s="12" t="s">
        <v>733</v>
      </c>
      <c r="C7" s="11" t="s">
        <v>686</v>
      </c>
      <c r="D7" s="11" t="s">
        <v>711</v>
      </c>
      <c r="E7" s="11" t="s">
        <v>712</v>
      </c>
      <c r="F7" s="11" t="s">
        <v>734</v>
      </c>
      <c r="G7" s="11" t="s">
        <v>735</v>
      </c>
      <c r="H7" s="11" t="s">
        <v>715</v>
      </c>
      <c r="I7" s="11" t="s">
        <v>716</v>
      </c>
      <c r="J7" s="11" t="s">
        <v>717</v>
      </c>
      <c r="K7" s="11" t="s">
        <v>736</v>
      </c>
      <c r="L7" s="11" t="s">
        <v>737</v>
      </c>
      <c r="M7" s="14" t="s">
        <v>738</v>
      </c>
      <c r="N7" s="13" t="s">
        <v>739</v>
      </c>
      <c r="O7" s="12" t="s">
        <v>731</v>
      </c>
      <c r="P7" s="13" t="s">
        <v>732</v>
      </c>
    </row>
    <row r="8" ht="27.75" customHeight="1">
      <c r="A8" s="7">
        <v>4.0</v>
      </c>
      <c r="B8" s="8" t="s">
        <v>740</v>
      </c>
      <c r="C8" s="7" t="s">
        <v>741</v>
      </c>
      <c r="D8" s="7" t="s">
        <v>742</v>
      </c>
      <c r="E8" s="7" t="s">
        <v>712</v>
      </c>
      <c r="F8" s="7" t="s">
        <v>734</v>
      </c>
      <c r="G8" s="7" t="s">
        <v>743</v>
      </c>
      <c r="H8" s="7" t="s">
        <v>715</v>
      </c>
      <c r="I8" s="7" t="s">
        <v>716</v>
      </c>
      <c r="J8" s="7" t="s">
        <v>717</v>
      </c>
      <c r="K8" s="7" t="s">
        <v>744</v>
      </c>
      <c r="L8" s="7" t="s">
        <v>745</v>
      </c>
      <c r="M8" s="10" t="s">
        <v>746</v>
      </c>
      <c r="N8" s="9" t="s">
        <v>747</v>
      </c>
      <c r="O8" s="8" t="s">
        <v>731</v>
      </c>
      <c r="P8" s="9" t="s">
        <v>748</v>
      </c>
    </row>
    <row r="9" ht="18.75" customHeight="1">
      <c r="A9" s="11">
        <v>5.0</v>
      </c>
      <c r="B9" s="12" t="s">
        <v>749</v>
      </c>
      <c r="C9" s="11" t="s">
        <v>710</v>
      </c>
      <c r="D9" s="11" t="s">
        <v>742</v>
      </c>
      <c r="E9" s="11" t="s">
        <v>712</v>
      </c>
      <c r="F9" s="11" t="s">
        <v>750</v>
      </c>
      <c r="G9" s="11" t="s">
        <v>751</v>
      </c>
      <c r="H9" s="11" t="s">
        <v>715</v>
      </c>
      <c r="I9" s="11" t="s">
        <v>716</v>
      </c>
      <c r="J9" s="11" t="s">
        <v>752</v>
      </c>
      <c r="K9" s="11" t="s">
        <v>753</v>
      </c>
      <c r="L9" s="11" t="s">
        <v>754</v>
      </c>
      <c r="M9" s="14" t="s">
        <v>755</v>
      </c>
      <c r="N9" s="13" t="s">
        <v>756</v>
      </c>
      <c r="O9" s="12" t="s">
        <v>722</v>
      </c>
      <c r="P9" s="13" t="s">
        <v>757</v>
      </c>
    </row>
    <row r="10" ht="18.75" customHeight="1">
      <c r="A10" s="7">
        <v>6.0</v>
      </c>
      <c r="B10" s="8" t="s">
        <v>758</v>
      </c>
      <c r="C10" s="7" t="s">
        <v>710</v>
      </c>
      <c r="D10" s="7" t="s">
        <v>742</v>
      </c>
      <c r="E10" s="7" t="s">
        <v>712</v>
      </c>
      <c r="F10" s="7" t="s">
        <v>759</v>
      </c>
      <c r="G10" s="7" t="s">
        <v>760</v>
      </c>
      <c r="H10" s="7" t="s">
        <v>715</v>
      </c>
      <c r="I10" s="7" t="s">
        <v>716</v>
      </c>
      <c r="J10" s="7" t="s">
        <v>752</v>
      </c>
      <c r="K10" s="7" t="s">
        <v>753</v>
      </c>
      <c r="L10" s="7" t="s">
        <v>719</v>
      </c>
      <c r="M10" s="10" t="s">
        <v>761</v>
      </c>
      <c r="N10" s="9" t="s">
        <v>762</v>
      </c>
      <c r="O10" s="8" t="s">
        <v>722</v>
      </c>
      <c r="P10" s="9" t="s">
        <v>763</v>
      </c>
    </row>
    <row r="11" ht="27.75" customHeight="1">
      <c r="A11" s="83">
        <v>7.0</v>
      </c>
      <c r="B11" s="84" t="s">
        <v>764</v>
      </c>
      <c r="C11" s="83" t="s">
        <v>710</v>
      </c>
      <c r="D11" s="83" t="s">
        <v>742</v>
      </c>
      <c r="E11" s="83" t="s">
        <v>712</v>
      </c>
      <c r="F11" s="83" t="s">
        <v>765</v>
      </c>
      <c r="G11" s="83" t="s">
        <v>766</v>
      </c>
      <c r="H11" s="83" t="s">
        <v>767</v>
      </c>
      <c r="I11" s="83" t="s">
        <v>716</v>
      </c>
      <c r="J11" s="83" t="s">
        <v>752</v>
      </c>
      <c r="K11" s="83" t="s">
        <v>768</v>
      </c>
      <c r="L11" s="83" t="s">
        <v>769</v>
      </c>
      <c r="M11" s="85" t="s">
        <v>770</v>
      </c>
      <c r="N11" s="86" t="s">
        <v>771</v>
      </c>
      <c r="O11" s="84" t="s">
        <v>722</v>
      </c>
      <c r="P11" s="86" t="s">
        <v>772</v>
      </c>
    </row>
    <row r="12" ht="27.75" customHeight="1">
      <c r="A12" s="7">
        <v>8.0</v>
      </c>
      <c r="B12" s="8" t="s">
        <v>773</v>
      </c>
      <c r="C12" s="7" t="s">
        <v>710</v>
      </c>
      <c r="D12" s="7" t="s">
        <v>742</v>
      </c>
      <c r="E12" s="7" t="s">
        <v>712</v>
      </c>
      <c r="F12" s="7" t="s">
        <v>774</v>
      </c>
      <c r="G12" s="7" t="s">
        <v>775</v>
      </c>
      <c r="H12" s="7" t="s">
        <v>715</v>
      </c>
      <c r="I12" s="7" t="s">
        <v>716</v>
      </c>
      <c r="J12" s="7" t="s">
        <v>752</v>
      </c>
      <c r="K12" s="7" t="s">
        <v>753</v>
      </c>
      <c r="L12" s="7" t="s">
        <v>754</v>
      </c>
      <c r="M12" s="10" t="s">
        <v>776</v>
      </c>
      <c r="N12" s="9" t="s">
        <v>777</v>
      </c>
      <c r="O12" s="8" t="s">
        <v>722</v>
      </c>
      <c r="P12" s="9" t="s">
        <v>778</v>
      </c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ht="16.5" customHeight="1">
      <c r="A14" s="81" t="s">
        <v>779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</row>
    <row r="15" ht="21.75" customHeight="1">
      <c r="A15" s="82" t="s">
        <v>780</v>
      </c>
      <c r="B15" s="82" t="s">
        <v>781</v>
      </c>
      <c r="C15" s="82" t="s">
        <v>782</v>
      </c>
      <c r="D15" s="82" t="s">
        <v>783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ht="81.75" customHeight="1">
      <c r="A16" s="87" t="s">
        <v>784</v>
      </c>
      <c r="B16" s="34" t="s">
        <v>785</v>
      </c>
      <c r="C16" s="34" t="s">
        <v>786</v>
      </c>
      <c r="D16" s="24" t="s">
        <v>787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ht="54.75" customHeight="1">
      <c r="A17" s="88" t="s">
        <v>788</v>
      </c>
      <c r="B17" s="25" t="s">
        <v>789</v>
      </c>
      <c r="C17" s="25" t="s">
        <v>790</v>
      </c>
      <c r="D17" s="89" t="s">
        <v>791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ht="54.75" customHeight="1">
      <c r="A18" s="90" t="s">
        <v>792</v>
      </c>
      <c r="B18" s="66" t="s">
        <v>793</v>
      </c>
      <c r="C18" s="66" t="s">
        <v>794</v>
      </c>
      <c r="D18" s="91" t="s">
        <v>795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ht="81.75" customHeight="1">
      <c r="A19" s="92" t="s">
        <v>796</v>
      </c>
      <c r="B19" s="73" t="s">
        <v>797</v>
      </c>
      <c r="C19" s="73" t="s">
        <v>798</v>
      </c>
      <c r="D19" s="93" t="s">
        <v>799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ht="63.75" customHeight="1">
      <c r="A20" s="87" t="s">
        <v>800</v>
      </c>
      <c r="B20" s="34" t="s">
        <v>801</v>
      </c>
      <c r="C20" s="34" t="s">
        <v>802</v>
      </c>
      <c r="D20" s="24" t="s">
        <v>803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ht="81.75" customHeight="1">
      <c r="A21" s="90" t="s">
        <v>804</v>
      </c>
      <c r="B21" s="66" t="s">
        <v>805</v>
      </c>
      <c r="C21" s="66" t="s">
        <v>806</v>
      </c>
      <c r="D21" s="91" t="s">
        <v>795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ht="63.75" customHeight="1">
      <c r="A22" s="87" t="s">
        <v>807</v>
      </c>
      <c r="B22" s="34" t="s">
        <v>808</v>
      </c>
      <c r="C22" s="34" t="s">
        <v>809</v>
      </c>
      <c r="D22" s="24" t="s">
        <v>810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ht="90.75" customHeight="1">
      <c r="A23" s="88" t="s">
        <v>401</v>
      </c>
      <c r="B23" s="25" t="s">
        <v>811</v>
      </c>
      <c r="C23" s="25" t="s">
        <v>812</v>
      </c>
      <c r="D23" s="89" t="s">
        <v>813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ht="72.75" customHeight="1">
      <c r="A24" s="87" t="s">
        <v>814</v>
      </c>
      <c r="B24" s="34" t="s">
        <v>815</v>
      </c>
      <c r="C24" s="34" t="s">
        <v>816</v>
      </c>
      <c r="D24" s="24" t="s">
        <v>817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</row>
  </sheetData>
  <mergeCells count="4">
    <mergeCell ref="A1:P1"/>
    <mergeCell ref="A2:P2"/>
    <mergeCell ref="A3:P3"/>
    <mergeCell ref="A14:P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4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86"/>
    <col customWidth="1" min="2" max="2" width="20.0"/>
    <col customWidth="1" min="3" max="3" width="12.0"/>
    <col customWidth="1" min="4" max="4" width="14.0"/>
    <col customWidth="1" min="5" max="5" width="26.0"/>
    <col customWidth="1" min="6" max="6" width="16.0"/>
    <col customWidth="1" min="7" max="7" width="26.14"/>
    <col customWidth="1" min="8" max="8" width="12.0"/>
    <col customWidth="1" min="9" max="9" width="21.29"/>
    <col customWidth="1" min="10" max="10" width="32.0"/>
    <col customWidth="1" min="11" max="11" width="28.0"/>
    <col customWidth="1" min="12" max="26" width="8.71"/>
  </cols>
  <sheetData>
    <row r="1" ht="27.75" customHeight="1">
      <c r="A1" s="18" t="s">
        <v>818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>
      <c r="A2" s="4" t="s">
        <v>819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6.5" customHeight="1">
      <c r="A3" s="20" t="s">
        <v>820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24.0" customHeight="1">
      <c r="A4" s="5" t="s">
        <v>2</v>
      </c>
      <c r="B4" s="5" t="s">
        <v>821</v>
      </c>
      <c r="C4" s="5" t="s">
        <v>822</v>
      </c>
      <c r="D4" s="5" t="s">
        <v>823</v>
      </c>
      <c r="E4" s="5" t="s">
        <v>824</v>
      </c>
      <c r="F4" s="5" t="s">
        <v>825</v>
      </c>
      <c r="G4" s="5" t="s">
        <v>826</v>
      </c>
      <c r="H4" s="5" t="s">
        <v>827</v>
      </c>
      <c r="I4" s="5" t="s">
        <v>828</v>
      </c>
      <c r="J4" s="5" t="s">
        <v>526</v>
      </c>
      <c r="K4" s="17"/>
    </row>
    <row r="5" ht="30.0" customHeight="1">
      <c r="A5" s="94">
        <v>1.0</v>
      </c>
      <c r="B5" s="95" t="s">
        <v>829</v>
      </c>
      <c r="C5" s="94" t="s">
        <v>830</v>
      </c>
      <c r="D5" s="94" t="s">
        <v>831</v>
      </c>
      <c r="E5" s="96" t="s">
        <v>832</v>
      </c>
      <c r="F5" s="96" t="s">
        <v>833</v>
      </c>
      <c r="G5" s="94" t="s">
        <v>834</v>
      </c>
      <c r="H5" s="94" t="s">
        <v>835</v>
      </c>
      <c r="I5" s="94" t="s">
        <v>836</v>
      </c>
      <c r="J5" s="96" t="s">
        <v>837</v>
      </c>
      <c r="K5" s="17"/>
    </row>
    <row r="6" ht="30.0" customHeight="1">
      <c r="A6" s="94">
        <v>2.0</v>
      </c>
      <c r="B6" s="95" t="s">
        <v>829</v>
      </c>
      <c r="C6" s="94" t="s">
        <v>838</v>
      </c>
      <c r="D6" s="94" t="s">
        <v>839</v>
      </c>
      <c r="E6" s="96" t="s">
        <v>608</v>
      </c>
      <c r="F6" s="96" t="s">
        <v>833</v>
      </c>
      <c r="G6" s="94" t="s">
        <v>840</v>
      </c>
      <c r="H6" s="94" t="s">
        <v>835</v>
      </c>
      <c r="I6" s="94" t="s">
        <v>836</v>
      </c>
      <c r="J6" s="96" t="s">
        <v>841</v>
      </c>
      <c r="K6" s="17"/>
    </row>
    <row r="7" ht="30.0" customHeight="1">
      <c r="A7" s="97">
        <v>3.0</v>
      </c>
      <c r="B7" s="98" t="s">
        <v>842</v>
      </c>
      <c r="C7" s="97" t="s">
        <v>843</v>
      </c>
      <c r="D7" s="97" t="s">
        <v>844</v>
      </c>
      <c r="E7" s="99" t="s">
        <v>845</v>
      </c>
      <c r="F7" s="99" t="s">
        <v>846</v>
      </c>
      <c r="G7" s="97" t="s">
        <v>847</v>
      </c>
      <c r="H7" s="97" t="s">
        <v>848</v>
      </c>
      <c r="I7" s="97" t="s">
        <v>849</v>
      </c>
      <c r="J7" s="99" t="s">
        <v>850</v>
      </c>
      <c r="K7" s="17"/>
    </row>
    <row r="8" ht="30.0" customHeight="1">
      <c r="A8" s="11">
        <v>4.0</v>
      </c>
      <c r="B8" s="12" t="s">
        <v>842</v>
      </c>
      <c r="C8" s="11" t="s">
        <v>851</v>
      </c>
      <c r="D8" s="11" t="s">
        <v>844</v>
      </c>
      <c r="E8" s="13" t="s">
        <v>852</v>
      </c>
      <c r="F8" s="13" t="s">
        <v>846</v>
      </c>
      <c r="G8" s="11" t="s">
        <v>853</v>
      </c>
      <c r="H8" s="11" t="s">
        <v>854</v>
      </c>
      <c r="I8" s="11" t="s">
        <v>855</v>
      </c>
      <c r="J8" s="13" t="s">
        <v>856</v>
      </c>
      <c r="K8" s="17"/>
    </row>
    <row r="9" ht="30.0" customHeight="1">
      <c r="A9" s="94">
        <v>5.0</v>
      </c>
      <c r="B9" s="95" t="s">
        <v>857</v>
      </c>
      <c r="C9" s="94" t="s">
        <v>858</v>
      </c>
      <c r="D9" s="94" t="s">
        <v>859</v>
      </c>
      <c r="E9" s="96" t="s">
        <v>860</v>
      </c>
      <c r="F9" s="96" t="s">
        <v>861</v>
      </c>
      <c r="G9" s="94" t="s">
        <v>862</v>
      </c>
      <c r="H9" s="94" t="s">
        <v>835</v>
      </c>
      <c r="I9" s="94" t="s">
        <v>863</v>
      </c>
      <c r="J9" s="96" t="s">
        <v>864</v>
      </c>
      <c r="K9" s="17"/>
    </row>
    <row r="10" ht="30.0" customHeight="1">
      <c r="A10" s="97">
        <v>6.0</v>
      </c>
      <c r="B10" s="98" t="s">
        <v>865</v>
      </c>
      <c r="C10" s="97" t="s">
        <v>866</v>
      </c>
      <c r="D10" s="97" t="s">
        <v>859</v>
      </c>
      <c r="E10" s="99" t="s">
        <v>867</v>
      </c>
      <c r="F10" s="99" t="s">
        <v>861</v>
      </c>
      <c r="G10" s="97" t="s">
        <v>868</v>
      </c>
      <c r="H10" s="97" t="s">
        <v>869</v>
      </c>
      <c r="I10" s="97" t="s">
        <v>870</v>
      </c>
      <c r="J10" s="99" t="s">
        <v>871</v>
      </c>
      <c r="K10" s="17"/>
    </row>
    <row r="11" ht="30.0" customHeight="1">
      <c r="A11" s="11">
        <v>7.0</v>
      </c>
      <c r="B11" s="12" t="s">
        <v>872</v>
      </c>
      <c r="C11" s="11" t="s">
        <v>873</v>
      </c>
      <c r="D11" s="11" t="s">
        <v>874</v>
      </c>
      <c r="E11" s="13" t="s">
        <v>875</v>
      </c>
      <c r="F11" s="13" t="s">
        <v>876</v>
      </c>
      <c r="G11" s="11" t="s">
        <v>877</v>
      </c>
      <c r="H11" s="11" t="s">
        <v>854</v>
      </c>
      <c r="I11" s="11" t="s">
        <v>878</v>
      </c>
      <c r="J11" s="13" t="s">
        <v>879</v>
      </c>
      <c r="K11" s="17"/>
    </row>
    <row r="12" ht="30.0" customHeight="1">
      <c r="A12" s="11">
        <v>8.0</v>
      </c>
      <c r="B12" s="12" t="s">
        <v>880</v>
      </c>
      <c r="C12" s="11" t="s">
        <v>881</v>
      </c>
      <c r="D12" s="11" t="s">
        <v>28</v>
      </c>
      <c r="E12" s="13" t="s">
        <v>882</v>
      </c>
      <c r="F12" s="13" t="s">
        <v>28</v>
      </c>
      <c r="G12" s="11" t="s">
        <v>28</v>
      </c>
      <c r="H12" s="11" t="s">
        <v>883</v>
      </c>
      <c r="I12" s="11" t="s">
        <v>28</v>
      </c>
      <c r="J12" s="13" t="s">
        <v>884</v>
      </c>
      <c r="K12" s="17"/>
    </row>
    <row r="13" ht="30.0" customHeight="1">
      <c r="A13" s="11">
        <v>9.0</v>
      </c>
      <c r="B13" s="12" t="s">
        <v>885</v>
      </c>
      <c r="C13" s="11" t="s">
        <v>886</v>
      </c>
      <c r="D13" s="11" t="s">
        <v>28</v>
      </c>
      <c r="E13" s="13" t="s">
        <v>887</v>
      </c>
      <c r="F13" s="13" t="s">
        <v>888</v>
      </c>
      <c r="G13" s="11" t="s">
        <v>888</v>
      </c>
      <c r="H13" s="11" t="s">
        <v>889</v>
      </c>
      <c r="I13" s="11" t="s">
        <v>890</v>
      </c>
      <c r="J13" s="13" t="s">
        <v>891</v>
      </c>
      <c r="K13" s="17"/>
    </row>
    <row r="14" ht="30.0" customHeight="1">
      <c r="A14" s="97">
        <v>10.0</v>
      </c>
      <c r="B14" s="98" t="s">
        <v>892</v>
      </c>
      <c r="C14" s="97" t="s">
        <v>893</v>
      </c>
      <c r="D14" s="97" t="s">
        <v>894</v>
      </c>
      <c r="E14" s="99" t="s">
        <v>895</v>
      </c>
      <c r="F14" s="99" t="s">
        <v>896</v>
      </c>
      <c r="G14" s="97" t="s">
        <v>897</v>
      </c>
      <c r="H14" s="97" t="s">
        <v>869</v>
      </c>
      <c r="I14" s="97" t="s">
        <v>898</v>
      </c>
      <c r="J14" s="99" t="s">
        <v>899</v>
      </c>
      <c r="K14" s="17"/>
    </row>
    <row r="15" ht="30.0" customHeight="1">
      <c r="A15" s="97">
        <v>11.0</v>
      </c>
      <c r="B15" s="98" t="s">
        <v>900</v>
      </c>
      <c r="C15" s="97" t="s">
        <v>901</v>
      </c>
      <c r="D15" s="97" t="s">
        <v>28</v>
      </c>
      <c r="E15" s="99" t="s">
        <v>902</v>
      </c>
      <c r="F15" s="99" t="s">
        <v>903</v>
      </c>
      <c r="G15" s="97" t="s">
        <v>904</v>
      </c>
      <c r="H15" s="97" t="s">
        <v>869</v>
      </c>
      <c r="I15" s="97" t="s">
        <v>905</v>
      </c>
      <c r="J15" s="99" t="s">
        <v>906</v>
      </c>
      <c r="K15" s="17"/>
    </row>
    <row r="16" ht="30.0" customHeight="1">
      <c r="A16" s="94">
        <v>12.0</v>
      </c>
      <c r="B16" s="95" t="s">
        <v>907</v>
      </c>
      <c r="C16" s="94" t="s">
        <v>907</v>
      </c>
      <c r="D16" s="94" t="s">
        <v>908</v>
      </c>
      <c r="E16" s="96" t="s">
        <v>909</v>
      </c>
      <c r="F16" s="96" t="s">
        <v>910</v>
      </c>
      <c r="G16" s="94" t="s">
        <v>28</v>
      </c>
      <c r="H16" s="94" t="s">
        <v>835</v>
      </c>
      <c r="I16" s="94" t="s">
        <v>911</v>
      </c>
      <c r="J16" s="96" t="s">
        <v>912</v>
      </c>
      <c r="K16" s="17"/>
    </row>
    <row r="17" ht="30.0" customHeight="1">
      <c r="A17" s="97">
        <v>13.0</v>
      </c>
      <c r="B17" s="98" t="s">
        <v>913</v>
      </c>
      <c r="C17" s="97" t="s">
        <v>914</v>
      </c>
      <c r="D17" s="97" t="s">
        <v>28</v>
      </c>
      <c r="E17" s="99" t="s">
        <v>915</v>
      </c>
      <c r="F17" s="99" t="s">
        <v>916</v>
      </c>
      <c r="G17" s="97" t="s">
        <v>917</v>
      </c>
      <c r="H17" s="97" t="s">
        <v>869</v>
      </c>
      <c r="I17" s="97" t="s">
        <v>918</v>
      </c>
      <c r="J17" s="99" t="s">
        <v>919</v>
      </c>
      <c r="K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ht="16.5" customHeight="1">
      <c r="A20" s="20" t="s">
        <v>920</v>
      </c>
      <c r="B20" s="2"/>
      <c r="C20" s="2"/>
      <c r="D20" s="2"/>
      <c r="E20" s="2"/>
      <c r="F20" s="2"/>
      <c r="G20" s="2"/>
      <c r="H20" s="2"/>
      <c r="I20" s="2"/>
      <c r="J20" s="2"/>
      <c r="K20" s="3"/>
    </row>
    <row r="21" ht="21.75" customHeight="1">
      <c r="A21" s="5" t="s">
        <v>2</v>
      </c>
      <c r="B21" s="5" t="s">
        <v>921</v>
      </c>
      <c r="C21" s="5" t="s">
        <v>885</v>
      </c>
      <c r="D21" s="5" t="s">
        <v>922</v>
      </c>
      <c r="E21" s="5" t="s">
        <v>923</v>
      </c>
      <c r="F21" s="5" t="s">
        <v>924</v>
      </c>
      <c r="G21" s="5" t="s">
        <v>925</v>
      </c>
      <c r="H21" s="5" t="s">
        <v>926</v>
      </c>
      <c r="I21" s="5" t="s">
        <v>927</v>
      </c>
      <c r="J21" s="5" t="s">
        <v>526</v>
      </c>
      <c r="K21" s="17"/>
    </row>
    <row r="22" ht="21.75" customHeight="1">
      <c r="A22" s="11">
        <v>1.0</v>
      </c>
      <c r="B22" s="11" t="s">
        <v>928</v>
      </c>
      <c r="C22" s="11" t="s">
        <v>928</v>
      </c>
      <c r="D22" s="12" t="s">
        <v>929</v>
      </c>
      <c r="E22" s="12" t="s">
        <v>930</v>
      </c>
      <c r="F22" s="11" t="s">
        <v>931</v>
      </c>
      <c r="G22" s="11" t="s">
        <v>932</v>
      </c>
      <c r="H22" s="11" t="s">
        <v>933</v>
      </c>
      <c r="I22" s="11" t="s">
        <v>934</v>
      </c>
      <c r="J22" s="13" t="s">
        <v>935</v>
      </c>
      <c r="K22" s="17"/>
    </row>
    <row r="23" ht="21.75" customHeight="1">
      <c r="A23" s="7">
        <v>2.0</v>
      </c>
      <c r="B23" s="7" t="s">
        <v>936</v>
      </c>
      <c r="C23" s="7" t="s">
        <v>936</v>
      </c>
      <c r="D23" s="8" t="s">
        <v>937</v>
      </c>
      <c r="E23" s="8" t="s">
        <v>938</v>
      </c>
      <c r="F23" s="7" t="s">
        <v>931</v>
      </c>
      <c r="G23" s="7" t="s">
        <v>932</v>
      </c>
      <c r="H23" s="7" t="s">
        <v>933</v>
      </c>
      <c r="I23" s="7" t="s">
        <v>934</v>
      </c>
      <c r="J23" s="9" t="s">
        <v>939</v>
      </c>
      <c r="K23" s="17"/>
    </row>
    <row r="24" ht="21.75" customHeight="1">
      <c r="A24" s="11">
        <v>3.0</v>
      </c>
      <c r="B24" s="11" t="s">
        <v>940</v>
      </c>
      <c r="C24" s="11" t="s">
        <v>940</v>
      </c>
      <c r="D24" s="12" t="s">
        <v>941</v>
      </c>
      <c r="E24" s="12" t="s">
        <v>942</v>
      </c>
      <c r="F24" s="11" t="s">
        <v>943</v>
      </c>
      <c r="G24" s="11" t="s">
        <v>932</v>
      </c>
      <c r="H24" s="11" t="s">
        <v>933</v>
      </c>
      <c r="I24" s="11" t="s">
        <v>934</v>
      </c>
      <c r="J24" s="13" t="s">
        <v>944</v>
      </c>
      <c r="K24" s="17"/>
    </row>
    <row r="25" ht="21.75" customHeight="1">
      <c r="A25" s="7">
        <v>4.0</v>
      </c>
      <c r="B25" s="7" t="s">
        <v>945</v>
      </c>
      <c r="C25" s="7" t="s">
        <v>945</v>
      </c>
      <c r="D25" s="8" t="s">
        <v>946</v>
      </c>
      <c r="E25" s="8" t="s">
        <v>947</v>
      </c>
      <c r="F25" s="7" t="s">
        <v>931</v>
      </c>
      <c r="G25" s="7" t="s">
        <v>932</v>
      </c>
      <c r="H25" s="7" t="s">
        <v>933</v>
      </c>
      <c r="I25" s="7" t="s">
        <v>934</v>
      </c>
      <c r="J25" s="9" t="s">
        <v>948</v>
      </c>
      <c r="K25" s="17"/>
    </row>
    <row r="26" ht="21.75" customHeight="1">
      <c r="A26" s="11">
        <v>5.0</v>
      </c>
      <c r="B26" s="11" t="s">
        <v>949</v>
      </c>
      <c r="C26" s="11" t="s">
        <v>949</v>
      </c>
      <c r="D26" s="12" t="s">
        <v>950</v>
      </c>
      <c r="E26" s="12" t="s">
        <v>951</v>
      </c>
      <c r="F26" s="11" t="s">
        <v>943</v>
      </c>
      <c r="G26" s="11" t="s">
        <v>932</v>
      </c>
      <c r="H26" s="11" t="s">
        <v>952</v>
      </c>
      <c r="I26" s="11" t="s">
        <v>953</v>
      </c>
      <c r="J26" s="13" t="s">
        <v>954</v>
      </c>
      <c r="K26" s="17"/>
    </row>
    <row r="27" ht="21.75" customHeight="1">
      <c r="A27" s="7">
        <v>6.0</v>
      </c>
      <c r="B27" s="7" t="s">
        <v>955</v>
      </c>
      <c r="C27" s="7" t="s">
        <v>955</v>
      </c>
      <c r="D27" s="8" t="s">
        <v>956</v>
      </c>
      <c r="E27" s="8" t="s">
        <v>957</v>
      </c>
      <c r="F27" s="7" t="s">
        <v>943</v>
      </c>
      <c r="G27" s="7" t="s">
        <v>932</v>
      </c>
      <c r="H27" s="7" t="s">
        <v>933</v>
      </c>
      <c r="I27" s="7" t="s">
        <v>934</v>
      </c>
      <c r="J27" s="9" t="s">
        <v>958</v>
      </c>
      <c r="K27" s="17"/>
    </row>
    <row r="28" ht="21.75" customHeight="1">
      <c r="A28" s="11">
        <v>7.0</v>
      </c>
      <c r="B28" s="11" t="s">
        <v>959</v>
      </c>
      <c r="C28" s="11" t="s">
        <v>959</v>
      </c>
      <c r="D28" s="12" t="s">
        <v>960</v>
      </c>
      <c r="E28" s="12" t="s">
        <v>961</v>
      </c>
      <c r="F28" s="11" t="s">
        <v>931</v>
      </c>
      <c r="G28" s="11" t="s">
        <v>932</v>
      </c>
      <c r="H28" s="11" t="s">
        <v>933</v>
      </c>
      <c r="I28" s="11" t="s">
        <v>934</v>
      </c>
      <c r="J28" s="13" t="s">
        <v>962</v>
      </c>
      <c r="K28" s="17"/>
    </row>
    <row r="29" ht="21.75" customHeight="1">
      <c r="A29" s="7">
        <v>8.0</v>
      </c>
      <c r="B29" s="7" t="s">
        <v>963</v>
      </c>
      <c r="C29" s="7" t="s">
        <v>963</v>
      </c>
      <c r="D29" s="8" t="s">
        <v>964</v>
      </c>
      <c r="E29" s="8" t="s">
        <v>965</v>
      </c>
      <c r="F29" s="7" t="s">
        <v>966</v>
      </c>
      <c r="G29" s="7" t="s">
        <v>967</v>
      </c>
      <c r="H29" s="7" t="s">
        <v>933</v>
      </c>
      <c r="I29" s="7" t="s">
        <v>934</v>
      </c>
      <c r="J29" s="9" t="s">
        <v>968</v>
      </c>
      <c r="K29" s="17"/>
    </row>
    <row r="30" ht="21.75" customHeight="1">
      <c r="A30" s="11">
        <v>9.0</v>
      </c>
      <c r="B30" s="11" t="s">
        <v>969</v>
      </c>
      <c r="C30" s="11" t="s">
        <v>969</v>
      </c>
      <c r="D30" s="12" t="s">
        <v>970</v>
      </c>
      <c r="E30" s="12" t="s">
        <v>971</v>
      </c>
      <c r="F30" s="11" t="s">
        <v>966</v>
      </c>
      <c r="G30" s="11" t="s">
        <v>967</v>
      </c>
      <c r="H30" s="11" t="s">
        <v>933</v>
      </c>
      <c r="I30" s="11" t="s">
        <v>934</v>
      </c>
      <c r="J30" s="13" t="s">
        <v>972</v>
      </c>
      <c r="K30" s="17"/>
    </row>
    <row r="31" ht="21.75" customHeight="1">
      <c r="A31" s="7">
        <v>10.0</v>
      </c>
      <c r="B31" s="7" t="s">
        <v>973</v>
      </c>
      <c r="C31" s="7" t="s">
        <v>973</v>
      </c>
      <c r="D31" s="8" t="s">
        <v>974</v>
      </c>
      <c r="E31" s="8" t="s">
        <v>975</v>
      </c>
      <c r="F31" s="7" t="s">
        <v>931</v>
      </c>
      <c r="G31" s="7" t="s">
        <v>932</v>
      </c>
      <c r="H31" s="7" t="s">
        <v>933</v>
      </c>
      <c r="I31" s="7" t="s">
        <v>934</v>
      </c>
      <c r="J31" s="9" t="s">
        <v>976</v>
      </c>
      <c r="K31" s="17"/>
    </row>
    <row r="32" ht="21.75" customHeight="1">
      <c r="A32" s="11">
        <v>11.0</v>
      </c>
      <c r="B32" s="11" t="s">
        <v>977</v>
      </c>
      <c r="C32" s="11" t="s">
        <v>977</v>
      </c>
      <c r="D32" s="12" t="s">
        <v>978</v>
      </c>
      <c r="E32" s="12" t="s">
        <v>979</v>
      </c>
      <c r="F32" s="11" t="s">
        <v>943</v>
      </c>
      <c r="G32" s="11" t="s">
        <v>932</v>
      </c>
      <c r="H32" s="11" t="s">
        <v>980</v>
      </c>
      <c r="I32" s="11" t="s">
        <v>934</v>
      </c>
      <c r="J32" s="13" t="s">
        <v>981</v>
      </c>
      <c r="K32" s="17"/>
    </row>
    <row r="33" ht="21.75" customHeight="1">
      <c r="A33" s="7">
        <v>12.0</v>
      </c>
      <c r="B33" s="7" t="s">
        <v>982</v>
      </c>
      <c r="C33" s="7" t="s">
        <v>982</v>
      </c>
      <c r="D33" s="8" t="s">
        <v>983</v>
      </c>
      <c r="E33" s="8" t="s">
        <v>984</v>
      </c>
      <c r="F33" s="7" t="s">
        <v>985</v>
      </c>
      <c r="G33" s="7" t="s">
        <v>986</v>
      </c>
      <c r="H33" s="7" t="s">
        <v>933</v>
      </c>
      <c r="I33" s="7" t="s">
        <v>934</v>
      </c>
      <c r="J33" s="9" t="s">
        <v>987</v>
      </c>
      <c r="K33" s="17"/>
    </row>
    <row r="34" ht="21.75" customHeight="1">
      <c r="A34" s="11">
        <v>13.0</v>
      </c>
      <c r="B34" s="11" t="s">
        <v>988</v>
      </c>
      <c r="C34" s="11" t="s">
        <v>988</v>
      </c>
      <c r="D34" s="12" t="s">
        <v>989</v>
      </c>
      <c r="E34" s="12" t="s">
        <v>990</v>
      </c>
      <c r="F34" s="11" t="s">
        <v>985</v>
      </c>
      <c r="G34" s="11" t="s">
        <v>986</v>
      </c>
      <c r="H34" s="11" t="s">
        <v>933</v>
      </c>
      <c r="I34" s="11" t="s">
        <v>934</v>
      </c>
      <c r="J34" s="13" t="s">
        <v>991</v>
      </c>
      <c r="K34" s="17"/>
    </row>
    <row r="35" ht="21.75" customHeight="1">
      <c r="A35" s="7">
        <v>14.0</v>
      </c>
      <c r="B35" s="7" t="s">
        <v>992</v>
      </c>
      <c r="C35" s="7" t="s">
        <v>992</v>
      </c>
      <c r="D35" s="8" t="s">
        <v>993</v>
      </c>
      <c r="E35" s="8" t="s">
        <v>994</v>
      </c>
      <c r="F35" s="7" t="s">
        <v>931</v>
      </c>
      <c r="G35" s="7" t="s">
        <v>932</v>
      </c>
      <c r="H35" s="7" t="s">
        <v>933</v>
      </c>
      <c r="I35" s="7" t="s">
        <v>934</v>
      </c>
      <c r="J35" s="9" t="s">
        <v>995</v>
      </c>
      <c r="K35" s="17"/>
    </row>
    <row r="36" ht="21.75" customHeight="1">
      <c r="A36" s="11">
        <v>15.0</v>
      </c>
      <c r="B36" s="11" t="s">
        <v>996</v>
      </c>
      <c r="C36" s="11" t="s">
        <v>996</v>
      </c>
      <c r="D36" s="12" t="s">
        <v>997</v>
      </c>
      <c r="E36" s="12" t="s">
        <v>998</v>
      </c>
      <c r="F36" s="11" t="s">
        <v>931</v>
      </c>
      <c r="G36" s="11" t="s">
        <v>932</v>
      </c>
      <c r="H36" s="11" t="s">
        <v>933</v>
      </c>
      <c r="I36" s="11" t="s">
        <v>934</v>
      </c>
      <c r="J36" s="13" t="s">
        <v>999</v>
      </c>
      <c r="K36" s="17"/>
    </row>
    <row r="37" ht="21.75" customHeight="1">
      <c r="A37" s="7">
        <v>16.0</v>
      </c>
      <c r="B37" s="7" t="s">
        <v>1000</v>
      </c>
      <c r="C37" s="7" t="s">
        <v>1000</v>
      </c>
      <c r="D37" s="8" t="s">
        <v>1001</v>
      </c>
      <c r="E37" s="8" t="s">
        <v>1002</v>
      </c>
      <c r="F37" s="7" t="s">
        <v>943</v>
      </c>
      <c r="G37" s="7" t="s">
        <v>932</v>
      </c>
      <c r="H37" s="7" t="s">
        <v>933</v>
      </c>
      <c r="I37" s="7" t="s">
        <v>934</v>
      </c>
      <c r="J37" s="9" t="s">
        <v>1003</v>
      </c>
      <c r="K37" s="17"/>
    </row>
    <row r="38" ht="21.75" customHeight="1">
      <c r="A38" s="11">
        <v>17.0</v>
      </c>
      <c r="B38" s="11" t="s">
        <v>1004</v>
      </c>
      <c r="C38" s="11" t="s">
        <v>1004</v>
      </c>
      <c r="D38" s="12" t="s">
        <v>1005</v>
      </c>
      <c r="E38" s="12" t="s">
        <v>1006</v>
      </c>
      <c r="F38" s="11" t="s">
        <v>931</v>
      </c>
      <c r="G38" s="11" t="s">
        <v>932</v>
      </c>
      <c r="H38" s="11" t="s">
        <v>933</v>
      </c>
      <c r="I38" s="11" t="s">
        <v>934</v>
      </c>
      <c r="J38" s="13" t="s">
        <v>1007</v>
      </c>
      <c r="K38" s="17"/>
    </row>
    <row r="39" ht="21.75" customHeight="1">
      <c r="A39" s="7">
        <v>18.0</v>
      </c>
      <c r="B39" s="7" t="s">
        <v>1008</v>
      </c>
      <c r="C39" s="7" t="s">
        <v>1008</v>
      </c>
      <c r="D39" s="8" t="s">
        <v>1009</v>
      </c>
      <c r="E39" s="8" t="s">
        <v>1010</v>
      </c>
      <c r="F39" s="7" t="s">
        <v>931</v>
      </c>
      <c r="G39" s="7" t="s">
        <v>932</v>
      </c>
      <c r="H39" s="7" t="s">
        <v>952</v>
      </c>
      <c r="I39" s="7" t="s">
        <v>934</v>
      </c>
      <c r="J39" s="9" t="s">
        <v>1011</v>
      </c>
      <c r="K39" s="17"/>
    </row>
    <row r="40" ht="21.75" customHeight="1">
      <c r="A40" s="11">
        <v>19.0</v>
      </c>
      <c r="B40" s="11" t="s">
        <v>1012</v>
      </c>
      <c r="C40" s="11" t="s">
        <v>1012</v>
      </c>
      <c r="D40" s="12" t="s">
        <v>1013</v>
      </c>
      <c r="E40" s="12" t="s">
        <v>1014</v>
      </c>
      <c r="F40" s="11" t="s">
        <v>943</v>
      </c>
      <c r="G40" s="11" t="s">
        <v>932</v>
      </c>
      <c r="H40" s="11" t="s">
        <v>980</v>
      </c>
      <c r="I40" s="11" t="s">
        <v>1015</v>
      </c>
      <c r="J40" s="13" t="s">
        <v>1016</v>
      </c>
      <c r="K40" s="17"/>
    </row>
    <row r="41" ht="21.75" customHeight="1">
      <c r="A41" s="7">
        <v>20.0</v>
      </c>
      <c r="B41" s="7" t="s">
        <v>1017</v>
      </c>
      <c r="C41" s="7" t="s">
        <v>1017</v>
      </c>
      <c r="D41" s="8" t="s">
        <v>1018</v>
      </c>
      <c r="E41" s="8" t="s">
        <v>1019</v>
      </c>
      <c r="F41" s="7" t="s">
        <v>1020</v>
      </c>
      <c r="G41" s="7" t="s">
        <v>1021</v>
      </c>
      <c r="H41" s="7" t="s">
        <v>1022</v>
      </c>
      <c r="I41" s="7" t="s">
        <v>934</v>
      </c>
      <c r="J41" s="9" t="s">
        <v>1023</v>
      </c>
      <c r="K41" s="17"/>
    </row>
    <row r="42" ht="21.75" customHeight="1">
      <c r="A42" s="11">
        <v>21.0</v>
      </c>
      <c r="B42" s="11" t="s">
        <v>1024</v>
      </c>
      <c r="C42" s="11" t="s">
        <v>1024</v>
      </c>
      <c r="D42" s="12" t="s">
        <v>1025</v>
      </c>
      <c r="E42" s="12" t="s">
        <v>1019</v>
      </c>
      <c r="F42" s="11" t="s">
        <v>1020</v>
      </c>
      <c r="G42" s="11" t="s">
        <v>1021</v>
      </c>
      <c r="H42" s="11" t="s">
        <v>1022</v>
      </c>
      <c r="I42" s="11" t="s">
        <v>934</v>
      </c>
      <c r="J42" s="13" t="s">
        <v>1026</v>
      </c>
      <c r="K42" s="17"/>
    </row>
    <row r="43" ht="21.75" customHeight="1">
      <c r="A43" s="7">
        <v>22.0</v>
      </c>
      <c r="B43" s="7" t="s">
        <v>1027</v>
      </c>
      <c r="C43" s="7" t="s">
        <v>1027</v>
      </c>
      <c r="D43" s="8" t="s">
        <v>1028</v>
      </c>
      <c r="E43" s="8" t="s">
        <v>1029</v>
      </c>
      <c r="F43" s="7" t="s">
        <v>931</v>
      </c>
      <c r="G43" s="7" t="s">
        <v>932</v>
      </c>
      <c r="H43" s="7" t="s">
        <v>933</v>
      </c>
      <c r="I43" s="7" t="s">
        <v>934</v>
      </c>
      <c r="J43" s="9" t="s">
        <v>1030</v>
      </c>
      <c r="K43" s="17"/>
    </row>
    <row r="44" ht="21.75" customHeight="1">
      <c r="A44" s="11">
        <v>23.0</v>
      </c>
      <c r="B44" s="11" t="s">
        <v>1031</v>
      </c>
      <c r="C44" s="11" t="s">
        <v>1031</v>
      </c>
      <c r="D44" s="12" t="s">
        <v>1032</v>
      </c>
      <c r="E44" s="12" t="s">
        <v>1033</v>
      </c>
      <c r="F44" s="11" t="s">
        <v>943</v>
      </c>
      <c r="G44" s="11" t="s">
        <v>932</v>
      </c>
      <c r="H44" s="11" t="s">
        <v>980</v>
      </c>
      <c r="I44" s="11" t="s">
        <v>934</v>
      </c>
      <c r="J44" s="13" t="s">
        <v>1034</v>
      </c>
      <c r="K44" s="17"/>
    </row>
    <row r="45" ht="21.75" customHeight="1">
      <c r="A45" s="7">
        <v>24.0</v>
      </c>
      <c r="B45" s="7" t="s">
        <v>1035</v>
      </c>
      <c r="C45" s="7" t="s">
        <v>1035</v>
      </c>
      <c r="D45" s="8" t="s">
        <v>1036</v>
      </c>
      <c r="E45" s="8" t="s">
        <v>1037</v>
      </c>
      <c r="F45" s="7" t="s">
        <v>943</v>
      </c>
      <c r="G45" s="7" t="s">
        <v>1038</v>
      </c>
      <c r="H45" s="7" t="s">
        <v>933</v>
      </c>
      <c r="I45" s="7" t="s">
        <v>1039</v>
      </c>
      <c r="J45" s="9" t="s">
        <v>1040</v>
      </c>
      <c r="K45" s="17"/>
    </row>
    <row r="46" ht="21.75" customHeight="1">
      <c r="A46" s="11">
        <v>25.0</v>
      </c>
      <c r="B46" s="11" t="s">
        <v>1041</v>
      </c>
      <c r="C46" s="11" t="s">
        <v>1041</v>
      </c>
      <c r="D46" s="12" t="s">
        <v>1042</v>
      </c>
      <c r="E46" s="12" t="s">
        <v>1043</v>
      </c>
      <c r="F46" s="11" t="s">
        <v>931</v>
      </c>
      <c r="G46" s="11" t="s">
        <v>932</v>
      </c>
      <c r="H46" s="11" t="s">
        <v>933</v>
      </c>
      <c r="I46" s="11" t="s">
        <v>934</v>
      </c>
      <c r="J46" s="13" t="s">
        <v>1044</v>
      </c>
      <c r="K46" s="17"/>
    </row>
    <row r="47" ht="21.75" customHeight="1">
      <c r="A47" s="7">
        <v>26.0</v>
      </c>
      <c r="B47" s="7" t="s">
        <v>1045</v>
      </c>
      <c r="C47" s="7" t="s">
        <v>1045</v>
      </c>
      <c r="D47" s="8" t="s">
        <v>1046</v>
      </c>
      <c r="E47" s="8" t="s">
        <v>1047</v>
      </c>
      <c r="F47" s="7" t="s">
        <v>943</v>
      </c>
      <c r="G47" s="7" t="s">
        <v>932</v>
      </c>
      <c r="H47" s="7" t="s">
        <v>952</v>
      </c>
      <c r="I47" s="7" t="s">
        <v>1039</v>
      </c>
      <c r="J47" s="9" t="s">
        <v>1048</v>
      </c>
      <c r="K47" s="17"/>
    </row>
    <row r="48" ht="21.75" customHeight="1">
      <c r="A48" s="11">
        <v>27.0</v>
      </c>
      <c r="B48" s="11" t="s">
        <v>1049</v>
      </c>
      <c r="C48" s="11" t="s">
        <v>1049</v>
      </c>
      <c r="D48" s="12" t="s">
        <v>1050</v>
      </c>
      <c r="E48" s="12" t="s">
        <v>1051</v>
      </c>
      <c r="F48" s="11" t="s">
        <v>943</v>
      </c>
      <c r="G48" s="11" t="s">
        <v>932</v>
      </c>
      <c r="H48" s="11" t="s">
        <v>980</v>
      </c>
      <c r="I48" s="11" t="s">
        <v>1052</v>
      </c>
      <c r="J48" s="13" t="s">
        <v>1053</v>
      </c>
      <c r="K48" s="17"/>
    </row>
    <row r="49" ht="21.75" customHeight="1">
      <c r="A49" s="7">
        <v>28.0</v>
      </c>
      <c r="B49" s="7" t="s">
        <v>1054</v>
      </c>
      <c r="C49" s="7" t="s">
        <v>1054</v>
      </c>
      <c r="D49" s="8" t="s">
        <v>1055</v>
      </c>
      <c r="E49" s="8" t="s">
        <v>1056</v>
      </c>
      <c r="F49" s="7" t="s">
        <v>943</v>
      </c>
      <c r="G49" s="7" t="s">
        <v>932</v>
      </c>
      <c r="H49" s="7" t="s">
        <v>980</v>
      </c>
      <c r="I49" s="7" t="s">
        <v>1057</v>
      </c>
      <c r="J49" s="9" t="s">
        <v>1058</v>
      </c>
      <c r="K49" s="17"/>
    </row>
    <row r="50" ht="21.75" customHeight="1">
      <c r="A50" s="11">
        <v>29.0</v>
      </c>
      <c r="B50" s="11" t="s">
        <v>1059</v>
      </c>
      <c r="C50" s="11" t="s">
        <v>1059</v>
      </c>
      <c r="D50" s="12" t="s">
        <v>1060</v>
      </c>
      <c r="E50" s="12" t="s">
        <v>1061</v>
      </c>
      <c r="F50" s="11" t="s">
        <v>943</v>
      </c>
      <c r="G50" s="11" t="s">
        <v>932</v>
      </c>
      <c r="H50" s="11" t="s">
        <v>980</v>
      </c>
      <c r="I50" s="11" t="s">
        <v>1062</v>
      </c>
      <c r="J50" s="13" t="s">
        <v>1063</v>
      </c>
      <c r="K50" s="17"/>
    </row>
    <row r="51" ht="21.75" customHeight="1">
      <c r="A51" s="7">
        <v>30.0</v>
      </c>
      <c r="B51" s="7" t="s">
        <v>1064</v>
      </c>
      <c r="C51" s="7" t="s">
        <v>1064</v>
      </c>
      <c r="D51" s="8" t="s">
        <v>1065</v>
      </c>
      <c r="E51" s="8" t="s">
        <v>1066</v>
      </c>
      <c r="F51" s="7" t="s">
        <v>943</v>
      </c>
      <c r="G51" s="7" t="s">
        <v>932</v>
      </c>
      <c r="H51" s="7" t="s">
        <v>1067</v>
      </c>
      <c r="I51" s="7" t="s">
        <v>1068</v>
      </c>
      <c r="J51" s="9" t="s">
        <v>1069</v>
      </c>
      <c r="K51" s="17"/>
    </row>
    <row r="52" ht="21.75" customHeight="1">
      <c r="A52" s="11">
        <v>31.0</v>
      </c>
      <c r="B52" s="11" t="s">
        <v>1070</v>
      </c>
      <c r="C52" s="11" t="s">
        <v>1070</v>
      </c>
      <c r="D52" s="12" t="s">
        <v>1071</v>
      </c>
      <c r="E52" s="12" t="s">
        <v>1072</v>
      </c>
      <c r="F52" s="11" t="s">
        <v>931</v>
      </c>
      <c r="G52" s="11" t="s">
        <v>932</v>
      </c>
      <c r="H52" s="11" t="s">
        <v>933</v>
      </c>
      <c r="I52" s="11" t="s">
        <v>934</v>
      </c>
      <c r="J52" s="13" t="s">
        <v>1073</v>
      </c>
      <c r="K52" s="17"/>
    </row>
    <row r="53" ht="21.75" customHeight="1">
      <c r="A53" s="7">
        <v>32.0</v>
      </c>
      <c r="B53" s="7" t="s">
        <v>1074</v>
      </c>
      <c r="C53" s="7" t="s">
        <v>1074</v>
      </c>
      <c r="D53" s="8" t="s">
        <v>1075</v>
      </c>
      <c r="E53" s="8" t="s">
        <v>1076</v>
      </c>
      <c r="F53" s="7" t="s">
        <v>931</v>
      </c>
      <c r="G53" s="7" t="s">
        <v>932</v>
      </c>
      <c r="H53" s="7" t="s">
        <v>933</v>
      </c>
      <c r="I53" s="7" t="s">
        <v>934</v>
      </c>
      <c r="J53" s="9" t="s">
        <v>1077</v>
      </c>
      <c r="K53" s="17"/>
    </row>
    <row r="54" ht="21.75" customHeight="1">
      <c r="A54" s="11">
        <v>33.0</v>
      </c>
      <c r="B54" s="11" t="s">
        <v>1078</v>
      </c>
      <c r="C54" s="11" t="s">
        <v>1078</v>
      </c>
      <c r="D54" s="12" t="s">
        <v>1079</v>
      </c>
      <c r="E54" s="12" t="s">
        <v>1080</v>
      </c>
      <c r="F54" s="11" t="s">
        <v>931</v>
      </c>
      <c r="G54" s="11" t="s">
        <v>932</v>
      </c>
      <c r="H54" s="11" t="s">
        <v>933</v>
      </c>
      <c r="I54" s="11" t="s">
        <v>934</v>
      </c>
      <c r="J54" s="13" t="s">
        <v>1081</v>
      </c>
      <c r="K54" s="17"/>
    </row>
    <row r="55" ht="21.75" customHeight="1">
      <c r="A55" s="7">
        <v>34.0</v>
      </c>
      <c r="B55" s="7" t="s">
        <v>1082</v>
      </c>
      <c r="C55" s="7" t="s">
        <v>1082</v>
      </c>
      <c r="D55" s="8" t="s">
        <v>1083</v>
      </c>
      <c r="E55" s="8" t="s">
        <v>1084</v>
      </c>
      <c r="F55" s="7" t="s">
        <v>1085</v>
      </c>
      <c r="G55" s="7" t="s">
        <v>932</v>
      </c>
      <c r="H55" s="7" t="s">
        <v>933</v>
      </c>
      <c r="I55" s="7" t="s">
        <v>934</v>
      </c>
      <c r="J55" s="9" t="s">
        <v>1086</v>
      </c>
      <c r="K55" s="17"/>
    </row>
    <row r="56" ht="21.75" customHeight="1">
      <c r="A56" s="11">
        <v>35.0</v>
      </c>
      <c r="B56" s="11" t="s">
        <v>1087</v>
      </c>
      <c r="C56" s="11" t="s">
        <v>1087</v>
      </c>
      <c r="D56" s="12" t="s">
        <v>1088</v>
      </c>
      <c r="E56" s="12" t="s">
        <v>1089</v>
      </c>
      <c r="F56" s="11" t="s">
        <v>1085</v>
      </c>
      <c r="G56" s="11" t="s">
        <v>932</v>
      </c>
      <c r="H56" s="11" t="s">
        <v>933</v>
      </c>
      <c r="I56" s="11" t="s">
        <v>934</v>
      </c>
      <c r="J56" s="13" t="s">
        <v>1090</v>
      </c>
      <c r="K56" s="17"/>
    </row>
    <row r="57" ht="21.75" customHeight="1">
      <c r="A57" s="7">
        <v>36.0</v>
      </c>
      <c r="B57" s="7" t="s">
        <v>1091</v>
      </c>
      <c r="C57" s="7" t="s">
        <v>1091</v>
      </c>
      <c r="D57" s="8" t="s">
        <v>1092</v>
      </c>
      <c r="E57" s="8" t="s">
        <v>1093</v>
      </c>
      <c r="F57" s="7" t="s">
        <v>1085</v>
      </c>
      <c r="G57" s="7" t="s">
        <v>932</v>
      </c>
      <c r="H57" s="7" t="s">
        <v>933</v>
      </c>
      <c r="I57" s="7" t="s">
        <v>934</v>
      </c>
      <c r="J57" s="9" t="s">
        <v>1094</v>
      </c>
      <c r="K57" s="17"/>
    </row>
    <row r="58" ht="21.75" customHeight="1">
      <c r="A58" s="11">
        <v>37.0</v>
      </c>
      <c r="B58" s="11" t="s">
        <v>1095</v>
      </c>
      <c r="C58" s="11" t="s">
        <v>1095</v>
      </c>
      <c r="D58" s="12" t="s">
        <v>1096</v>
      </c>
      <c r="E58" s="12" t="s">
        <v>1097</v>
      </c>
      <c r="F58" s="11" t="s">
        <v>1085</v>
      </c>
      <c r="G58" s="11" t="s">
        <v>932</v>
      </c>
      <c r="H58" s="11" t="s">
        <v>933</v>
      </c>
      <c r="I58" s="11" t="s">
        <v>934</v>
      </c>
      <c r="J58" s="13" t="s">
        <v>1098</v>
      </c>
      <c r="K58" s="17"/>
    </row>
    <row r="59" ht="21.75" customHeight="1">
      <c r="A59" s="7">
        <v>38.0</v>
      </c>
      <c r="B59" s="7" t="s">
        <v>1099</v>
      </c>
      <c r="C59" s="7" t="s">
        <v>1099</v>
      </c>
      <c r="D59" s="8" t="s">
        <v>1100</v>
      </c>
      <c r="E59" s="8" t="s">
        <v>1101</v>
      </c>
      <c r="F59" s="7" t="s">
        <v>931</v>
      </c>
      <c r="G59" s="7" t="s">
        <v>932</v>
      </c>
      <c r="H59" s="7" t="s">
        <v>933</v>
      </c>
      <c r="I59" s="7" t="s">
        <v>934</v>
      </c>
      <c r="J59" s="9" t="s">
        <v>1102</v>
      </c>
      <c r="K59" s="17"/>
    </row>
    <row r="60" ht="21.75" customHeight="1">
      <c r="A60" s="11">
        <v>39.0</v>
      </c>
      <c r="B60" s="11" t="s">
        <v>1103</v>
      </c>
      <c r="C60" s="11" t="s">
        <v>1103</v>
      </c>
      <c r="D60" s="12" t="s">
        <v>1104</v>
      </c>
      <c r="E60" s="12" t="s">
        <v>1105</v>
      </c>
      <c r="F60" s="11" t="s">
        <v>931</v>
      </c>
      <c r="G60" s="11" t="s">
        <v>932</v>
      </c>
      <c r="H60" s="11" t="s">
        <v>933</v>
      </c>
      <c r="I60" s="11" t="s">
        <v>934</v>
      </c>
      <c r="J60" s="13" t="s">
        <v>1106</v>
      </c>
      <c r="K60" s="17"/>
    </row>
    <row r="61" ht="21.75" customHeight="1">
      <c r="A61" s="7">
        <v>40.0</v>
      </c>
      <c r="B61" s="7" t="s">
        <v>1107</v>
      </c>
      <c r="C61" s="7" t="s">
        <v>1107</v>
      </c>
      <c r="D61" s="8" t="s">
        <v>1108</v>
      </c>
      <c r="E61" s="8" t="s">
        <v>1109</v>
      </c>
      <c r="F61" s="7" t="s">
        <v>1085</v>
      </c>
      <c r="G61" s="7" t="s">
        <v>932</v>
      </c>
      <c r="H61" s="7" t="s">
        <v>933</v>
      </c>
      <c r="I61" s="7" t="s">
        <v>934</v>
      </c>
      <c r="J61" s="9" t="s">
        <v>1110</v>
      </c>
      <c r="K61" s="17"/>
    </row>
    <row r="62" ht="21.75" customHeight="1">
      <c r="A62" s="11">
        <v>41.0</v>
      </c>
      <c r="B62" s="11" t="s">
        <v>1111</v>
      </c>
      <c r="C62" s="11" t="s">
        <v>1111</v>
      </c>
      <c r="D62" s="12" t="s">
        <v>1112</v>
      </c>
      <c r="E62" s="12" t="s">
        <v>1113</v>
      </c>
      <c r="F62" s="11" t="s">
        <v>1085</v>
      </c>
      <c r="G62" s="11" t="s">
        <v>932</v>
      </c>
      <c r="H62" s="11" t="s">
        <v>933</v>
      </c>
      <c r="I62" s="11" t="s">
        <v>934</v>
      </c>
      <c r="J62" s="13" t="s">
        <v>1114</v>
      </c>
      <c r="K62" s="17"/>
    </row>
    <row r="63" ht="21.75" customHeight="1">
      <c r="A63" s="7">
        <v>42.0</v>
      </c>
      <c r="B63" s="7" t="s">
        <v>1115</v>
      </c>
      <c r="C63" s="7" t="s">
        <v>1115</v>
      </c>
      <c r="D63" s="8" t="s">
        <v>1116</v>
      </c>
      <c r="E63" s="8" t="s">
        <v>1117</v>
      </c>
      <c r="F63" s="7" t="s">
        <v>1085</v>
      </c>
      <c r="G63" s="7" t="s">
        <v>932</v>
      </c>
      <c r="H63" s="7" t="s">
        <v>933</v>
      </c>
      <c r="I63" s="7" t="s">
        <v>934</v>
      </c>
      <c r="J63" s="9" t="s">
        <v>1118</v>
      </c>
      <c r="K63" s="17"/>
    </row>
    <row r="64" ht="21.75" customHeight="1">
      <c r="A64" s="11">
        <v>43.0</v>
      </c>
      <c r="B64" s="11" t="s">
        <v>1119</v>
      </c>
      <c r="C64" s="11" t="s">
        <v>1119</v>
      </c>
      <c r="D64" s="12" t="s">
        <v>1120</v>
      </c>
      <c r="E64" s="12" t="s">
        <v>1121</v>
      </c>
      <c r="F64" s="11" t="s">
        <v>931</v>
      </c>
      <c r="G64" s="11" t="s">
        <v>932</v>
      </c>
      <c r="H64" s="11" t="s">
        <v>933</v>
      </c>
      <c r="I64" s="11" t="s">
        <v>934</v>
      </c>
      <c r="J64" s="13" t="s">
        <v>1122</v>
      </c>
      <c r="K64" s="17"/>
    </row>
    <row r="65" ht="21.75" customHeight="1">
      <c r="A65" s="7">
        <v>44.0</v>
      </c>
      <c r="B65" s="7" t="s">
        <v>28</v>
      </c>
      <c r="C65" s="7" t="s">
        <v>28</v>
      </c>
      <c r="D65" s="8" t="s">
        <v>1123</v>
      </c>
      <c r="E65" s="8" t="s">
        <v>1124</v>
      </c>
      <c r="F65" s="7" t="s">
        <v>28</v>
      </c>
      <c r="G65" s="7" t="s">
        <v>28</v>
      </c>
      <c r="H65" s="7" t="s">
        <v>28</v>
      </c>
      <c r="I65" s="7" t="s">
        <v>28</v>
      </c>
      <c r="J65" s="9" t="s">
        <v>1125</v>
      </c>
      <c r="K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ht="16.5" customHeight="1">
      <c r="A67" s="20" t="s">
        <v>1126</v>
      </c>
      <c r="B67" s="2"/>
      <c r="C67" s="2"/>
      <c r="D67" s="2"/>
      <c r="E67" s="2"/>
      <c r="F67" s="2"/>
      <c r="G67" s="2"/>
      <c r="H67" s="2"/>
      <c r="I67" s="2"/>
      <c r="J67" s="2"/>
      <c r="K67" s="3"/>
    </row>
    <row r="68" ht="21.75" customHeight="1">
      <c r="A68" s="5" t="s">
        <v>878</v>
      </c>
      <c r="B68" s="5" t="s">
        <v>3</v>
      </c>
      <c r="C68" s="5" t="s">
        <v>1127</v>
      </c>
      <c r="D68" s="5" t="s">
        <v>1128</v>
      </c>
      <c r="E68" s="5" t="s">
        <v>1129</v>
      </c>
      <c r="F68" s="5" t="s">
        <v>1130</v>
      </c>
      <c r="G68" s="5" t="s">
        <v>823</v>
      </c>
      <c r="H68" s="5" t="s">
        <v>1131</v>
      </c>
      <c r="I68" s="5" t="s">
        <v>526</v>
      </c>
      <c r="J68" s="17"/>
      <c r="K68" s="17"/>
    </row>
    <row r="69" ht="27.75" customHeight="1">
      <c r="A69" s="12" t="s">
        <v>1132</v>
      </c>
      <c r="B69" s="11" t="s">
        <v>53</v>
      </c>
      <c r="C69" s="11" t="s">
        <v>1133</v>
      </c>
      <c r="D69" s="11" t="s">
        <v>1134</v>
      </c>
      <c r="E69" s="11" t="s">
        <v>1135</v>
      </c>
      <c r="F69" s="12" t="s">
        <v>1136</v>
      </c>
      <c r="G69" s="11" t="s">
        <v>1137</v>
      </c>
      <c r="H69" s="12" t="s">
        <v>1138</v>
      </c>
      <c r="I69" s="13" t="s">
        <v>1139</v>
      </c>
      <c r="J69" s="17"/>
      <c r="K69" s="17"/>
    </row>
    <row r="70" ht="27.75" customHeight="1">
      <c r="A70" s="8" t="s">
        <v>605</v>
      </c>
      <c r="B70" s="7" t="s">
        <v>127</v>
      </c>
      <c r="C70" s="7" t="s">
        <v>1140</v>
      </c>
      <c r="D70" s="7" t="s">
        <v>1141</v>
      </c>
      <c r="E70" s="7" t="s">
        <v>1142</v>
      </c>
      <c r="F70" s="8" t="s">
        <v>1143</v>
      </c>
      <c r="G70" s="7" t="s">
        <v>1137</v>
      </c>
      <c r="H70" s="8" t="s">
        <v>1144</v>
      </c>
      <c r="I70" s="9" t="s">
        <v>1145</v>
      </c>
      <c r="J70" s="17"/>
      <c r="K70" s="17"/>
    </row>
    <row r="71" ht="27.75" customHeight="1">
      <c r="A71" s="100" t="s">
        <v>1146</v>
      </c>
      <c r="B71" s="101" t="s">
        <v>108</v>
      </c>
      <c r="C71" s="101" t="s">
        <v>1147</v>
      </c>
      <c r="D71" s="101" t="s">
        <v>1148</v>
      </c>
      <c r="E71" s="101" t="s">
        <v>1149</v>
      </c>
      <c r="F71" s="100" t="s">
        <v>1143</v>
      </c>
      <c r="G71" s="101" t="s">
        <v>1137</v>
      </c>
      <c r="H71" s="100" t="s">
        <v>1150</v>
      </c>
      <c r="I71" s="102" t="s">
        <v>1151</v>
      </c>
      <c r="J71" s="17"/>
      <c r="K71" s="17"/>
    </row>
    <row r="72" ht="48.0" customHeight="1">
      <c r="A72" s="8" t="s">
        <v>1152</v>
      </c>
      <c r="B72" s="7" t="s">
        <v>117</v>
      </c>
      <c r="C72" s="7" t="s">
        <v>1153</v>
      </c>
      <c r="D72" s="7" t="s">
        <v>1154</v>
      </c>
      <c r="E72" s="7" t="s">
        <v>1155</v>
      </c>
      <c r="F72" s="8" t="s">
        <v>1143</v>
      </c>
      <c r="G72" s="7" t="s">
        <v>1137</v>
      </c>
      <c r="H72" s="8" t="s">
        <v>1156</v>
      </c>
      <c r="I72" s="9" t="s">
        <v>1157</v>
      </c>
      <c r="J72" s="17"/>
      <c r="K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ht="16.5" customHeight="1">
      <c r="A75" s="20" t="s">
        <v>1158</v>
      </c>
      <c r="B75" s="2"/>
      <c r="C75" s="2"/>
      <c r="D75" s="2"/>
      <c r="E75" s="2"/>
      <c r="F75" s="2"/>
      <c r="G75" s="2"/>
      <c r="H75" s="2"/>
      <c r="I75" s="2"/>
      <c r="J75" s="2"/>
      <c r="K75" s="3"/>
    </row>
    <row r="76" ht="21.75" customHeight="1">
      <c r="A76" s="103" t="s">
        <v>1159</v>
      </c>
      <c r="B76" s="103" t="s">
        <v>1160</v>
      </c>
      <c r="C76" s="103" t="s">
        <v>1161</v>
      </c>
      <c r="D76" s="103" t="s">
        <v>1162</v>
      </c>
      <c r="E76" s="103" t="s">
        <v>1163</v>
      </c>
      <c r="F76" s="103" t="s">
        <v>1164</v>
      </c>
      <c r="G76" s="103" t="s">
        <v>1165</v>
      </c>
      <c r="H76" s="103" t="s">
        <v>1166</v>
      </c>
      <c r="I76" s="103" t="s">
        <v>1167</v>
      </c>
      <c r="J76" s="103" t="s">
        <v>1168</v>
      </c>
      <c r="K76" s="103" t="s">
        <v>526</v>
      </c>
    </row>
    <row r="77" ht="25.5" customHeight="1">
      <c r="A77" s="13" t="s">
        <v>1169</v>
      </c>
      <c r="B77" s="13" t="s">
        <v>1170</v>
      </c>
      <c r="C77" s="13" t="s">
        <v>1171</v>
      </c>
      <c r="D77" s="13" t="s">
        <v>28</v>
      </c>
      <c r="E77" s="13" t="s">
        <v>28</v>
      </c>
      <c r="F77" s="13" t="s">
        <v>28</v>
      </c>
      <c r="G77" s="13" t="s">
        <v>28</v>
      </c>
      <c r="H77" s="13" t="s">
        <v>28</v>
      </c>
      <c r="I77" s="13" t="s">
        <v>28</v>
      </c>
      <c r="J77" s="13" t="s">
        <v>28</v>
      </c>
      <c r="K77" s="13" t="s">
        <v>1172</v>
      </c>
    </row>
    <row r="78" ht="25.5" customHeight="1">
      <c r="A78" s="9" t="s">
        <v>1173</v>
      </c>
      <c r="B78" s="9" t="s">
        <v>1174</v>
      </c>
      <c r="C78" s="9" t="s">
        <v>1170</v>
      </c>
      <c r="D78" s="9" t="s">
        <v>1175</v>
      </c>
      <c r="E78" s="9" t="s">
        <v>28</v>
      </c>
      <c r="F78" s="9" t="s">
        <v>28</v>
      </c>
      <c r="G78" s="9" t="s">
        <v>28</v>
      </c>
      <c r="H78" s="9" t="s">
        <v>28</v>
      </c>
      <c r="I78" s="9" t="s">
        <v>28</v>
      </c>
      <c r="J78" s="9" t="s">
        <v>28</v>
      </c>
      <c r="K78" s="9" t="s">
        <v>1176</v>
      </c>
    </row>
    <row r="79" ht="25.5" customHeight="1">
      <c r="A79" s="13" t="s">
        <v>1177</v>
      </c>
      <c r="B79" s="13" t="s">
        <v>1178</v>
      </c>
      <c r="C79" s="13" t="s">
        <v>28</v>
      </c>
      <c r="D79" s="13" t="s">
        <v>28</v>
      </c>
      <c r="E79" s="13" t="s">
        <v>28</v>
      </c>
      <c r="F79" s="13" t="s">
        <v>28</v>
      </c>
      <c r="G79" s="13" t="s">
        <v>28</v>
      </c>
      <c r="H79" s="13" t="s">
        <v>28</v>
      </c>
      <c r="I79" s="13" t="s">
        <v>28</v>
      </c>
      <c r="J79" s="13" t="s">
        <v>28</v>
      </c>
      <c r="K79" s="13" t="s">
        <v>1179</v>
      </c>
    </row>
    <row r="80" ht="25.5" customHeight="1">
      <c r="A80" s="9" t="s">
        <v>1180</v>
      </c>
      <c r="B80" s="9" t="s">
        <v>1181</v>
      </c>
      <c r="C80" s="9" t="s">
        <v>1182</v>
      </c>
      <c r="D80" s="9" t="s">
        <v>1183</v>
      </c>
      <c r="E80" s="9" t="s">
        <v>1184</v>
      </c>
      <c r="F80" s="9" t="s">
        <v>1185</v>
      </c>
      <c r="G80" s="9" t="s">
        <v>1186</v>
      </c>
      <c r="H80" s="9" t="s">
        <v>1187</v>
      </c>
      <c r="I80" s="9" t="s">
        <v>1188</v>
      </c>
      <c r="J80" s="9" t="s">
        <v>1189</v>
      </c>
      <c r="K80" s="9" t="s">
        <v>1190</v>
      </c>
    </row>
    <row r="81" ht="25.5" customHeight="1">
      <c r="A81" s="13" t="s">
        <v>1191</v>
      </c>
      <c r="B81" s="13" t="s">
        <v>1192</v>
      </c>
      <c r="C81" s="13" t="s">
        <v>1193</v>
      </c>
      <c r="D81" s="13" t="s">
        <v>28</v>
      </c>
      <c r="E81" s="13" t="s">
        <v>28</v>
      </c>
      <c r="F81" s="13" t="s">
        <v>28</v>
      </c>
      <c r="G81" s="13" t="s">
        <v>28</v>
      </c>
      <c r="H81" s="13" t="s">
        <v>28</v>
      </c>
      <c r="I81" s="13" t="s">
        <v>28</v>
      </c>
      <c r="J81" s="13" t="s">
        <v>28</v>
      </c>
      <c r="K81" s="13" t="s">
        <v>1194</v>
      </c>
    </row>
    <row r="82" ht="25.5" customHeight="1">
      <c r="A82" s="9" t="s">
        <v>1195</v>
      </c>
      <c r="B82" s="9" t="s">
        <v>1196</v>
      </c>
      <c r="C82" s="9" t="s">
        <v>1197</v>
      </c>
      <c r="D82" s="9" t="s">
        <v>1198</v>
      </c>
      <c r="E82" s="9" t="s">
        <v>28</v>
      </c>
      <c r="F82" s="9" t="s">
        <v>28</v>
      </c>
      <c r="G82" s="9" t="s">
        <v>28</v>
      </c>
      <c r="H82" s="9" t="s">
        <v>28</v>
      </c>
      <c r="I82" s="9" t="s">
        <v>28</v>
      </c>
      <c r="J82" s="9" t="s">
        <v>28</v>
      </c>
      <c r="K82" s="9" t="s">
        <v>1199</v>
      </c>
    </row>
    <row r="83" ht="25.5" customHeight="1">
      <c r="A83" s="13" t="s">
        <v>1200</v>
      </c>
      <c r="B83" s="13" t="s">
        <v>1201</v>
      </c>
      <c r="C83" s="13" t="s">
        <v>1202</v>
      </c>
      <c r="D83" s="13" t="s">
        <v>1203</v>
      </c>
      <c r="E83" s="13" t="s">
        <v>28</v>
      </c>
      <c r="F83" s="13" t="s">
        <v>28</v>
      </c>
      <c r="G83" s="13" t="s">
        <v>28</v>
      </c>
      <c r="H83" s="13" t="s">
        <v>28</v>
      </c>
      <c r="I83" s="13" t="s">
        <v>28</v>
      </c>
      <c r="J83" s="13" t="s">
        <v>28</v>
      </c>
      <c r="K83" s="13" t="s">
        <v>1204</v>
      </c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</row>
  </sheetData>
  <mergeCells count="6">
    <mergeCell ref="A1:K1"/>
    <mergeCell ref="A2:K2"/>
    <mergeCell ref="A3:K3"/>
    <mergeCell ref="A20:K20"/>
    <mergeCell ref="A67:K67"/>
    <mergeCell ref="A75:K7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3A1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22.29"/>
    <col customWidth="1" min="3" max="3" width="12.0"/>
    <col customWidth="1" min="4" max="4" width="34.0"/>
    <col customWidth="1" min="5" max="5" width="12.0"/>
    <col customWidth="1" min="6" max="6" width="14.0"/>
    <col customWidth="1" min="7" max="7" width="12.0"/>
    <col customWidth="1" min="8" max="9" width="14.0"/>
    <col customWidth="1" min="10" max="26" width="8.71"/>
  </cols>
  <sheetData>
    <row r="1" ht="27.75" customHeight="1">
      <c r="A1" s="104" t="s">
        <v>1205</v>
      </c>
      <c r="B1" s="2"/>
      <c r="C1" s="2"/>
      <c r="D1" s="2"/>
      <c r="E1" s="2"/>
      <c r="F1" s="2"/>
      <c r="G1" s="2"/>
      <c r="H1" s="2"/>
      <c r="I1" s="3"/>
    </row>
    <row r="2" ht="13.5" customHeight="1">
      <c r="A2" s="80" t="s">
        <v>1206</v>
      </c>
      <c r="B2" s="2"/>
      <c r="C2" s="2"/>
      <c r="D2" s="2"/>
      <c r="E2" s="2"/>
      <c r="F2" s="2"/>
      <c r="G2" s="2"/>
      <c r="H2" s="2"/>
      <c r="I2" s="3"/>
    </row>
    <row r="3" ht="16.5" customHeight="1">
      <c r="A3" s="105" t="s">
        <v>1207</v>
      </c>
      <c r="B3" s="2"/>
      <c r="C3" s="2"/>
      <c r="D3" s="2"/>
      <c r="E3" s="2"/>
      <c r="F3" s="2"/>
      <c r="G3" s="2"/>
      <c r="H3" s="2"/>
      <c r="I3" s="3"/>
    </row>
    <row r="4" ht="15.0" customHeight="1">
      <c r="A4" s="22" t="s">
        <v>1208</v>
      </c>
      <c r="B4" s="106">
        <v>90.0</v>
      </c>
      <c r="C4" s="24" t="s">
        <v>1209</v>
      </c>
      <c r="D4" s="25" t="s">
        <v>1210</v>
      </c>
      <c r="E4" s="17"/>
      <c r="F4" s="17"/>
      <c r="G4" s="17"/>
      <c r="H4" s="17"/>
      <c r="I4" s="17"/>
    </row>
    <row r="5" ht="15.0" customHeight="1">
      <c r="A5" s="22" t="s">
        <v>1211</v>
      </c>
      <c r="B5" s="106">
        <v>70.0</v>
      </c>
      <c r="C5" s="24" t="s">
        <v>1209</v>
      </c>
      <c r="D5" s="25" t="s">
        <v>1212</v>
      </c>
      <c r="E5" s="17"/>
      <c r="F5" s="17"/>
      <c r="G5" s="17"/>
      <c r="H5" s="17"/>
      <c r="I5" s="17"/>
    </row>
    <row r="6" ht="15.0" customHeight="1">
      <c r="A6" s="22" t="s">
        <v>1213</v>
      </c>
      <c r="B6" s="106">
        <v>12.0</v>
      </c>
      <c r="C6" s="24" t="s">
        <v>1209</v>
      </c>
      <c r="D6" s="25" t="s">
        <v>1214</v>
      </c>
      <c r="E6" s="17"/>
      <c r="F6" s="17"/>
      <c r="G6" s="17"/>
      <c r="H6" s="17"/>
      <c r="I6" s="17"/>
    </row>
    <row r="7" ht="18.75" customHeight="1">
      <c r="A7" s="22" t="s">
        <v>1215</v>
      </c>
      <c r="B7" s="106">
        <v>1.5</v>
      </c>
      <c r="C7" s="24" t="s">
        <v>1209</v>
      </c>
      <c r="D7" s="25" t="s">
        <v>1216</v>
      </c>
      <c r="E7" s="17"/>
      <c r="F7" s="17"/>
      <c r="G7" s="17"/>
      <c r="H7" s="17"/>
      <c r="I7" s="17"/>
    </row>
    <row r="8" ht="15.0" customHeight="1">
      <c r="A8" s="30" t="s">
        <v>1217</v>
      </c>
      <c r="B8" s="107">
        <f>B4-2*B7</f>
        <v>87</v>
      </c>
      <c r="C8" s="24" t="s">
        <v>1209</v>
      </c>
      <c r="D8" s="25" t="s">
        <v>1218</v>
      </c>
      <c r="E8" s="17"/>
      <c r="F8" s="17"/>
      <c r="G8" s="17"/>
      <c r="H8" s="17"/>
      <c r="I8" s="17"/>
    </row>
    <row r="9" ht="15.0" customHeight="1">
      <c r="A9" s="30" t="s">
        <v>1219</v>
      </c>
      <c r="B9" s="107">
        <f>B5-2*B7</f>
        <v>67</v>
      </c>
      <c r="C9" s="24" t="s">
        <v>1209</v>
      </c>
      <c r="D9" s="25" t="s">
        <v>1220</v>
      </c>
      <c r="E9" s="17"/>
      <c r="F9" s="17"/>
      <c r="G9" s="17"/>
      <c r="H9" s="17"/>
      <c r="I9" s="17"/>
    </row>
    <row r="10" ht="15.0" customHeight="1">
      <c r="A10" s="22" t="s">
        <v>1221</v>
      </c>
      <c r="B10" s="106">
        <v>1.6</v>
      </c>
      <c r="C10" s="24" t="s">
        <v>1209</v>
      </c>
      <c r="D10" s="25" t="s">
        <v>1222</v>
      </c>
      <c r="E10" s="17"/>
      <c r="F10" s="17"/>
      <c r="G10" s="17"/>
      <c r="H10" s="17"/>
      <c r="I10" s="17"/>
    </row>
    <row r="11" ht="18.75" customHeight="1">
      <c r="A11" s="22" t="s">
        <v>1223</v>
      </c>
      <c r="B11" s="106">
        <v>2.4</v>
      </c>
      <c r="C11" s="24" t="s">
        <v>1209</v>
      </c>
      <c r="D11" s="25" t="s">
        <v>1224</v>
      </c>
      <c r="E11" s="17"/>
      <c r="F11" s="17"/>
      <c r="G11" s="17"/>
      <c r="H11" s="17"/>
      <c r="I11" s="17"/>
    </row>
    <row r="12" ht="18.75" customHeight="1">
      <c r="A12" s="22" t="s">
        <v>1225</v>
      </c>
      <c r="B12" s="106">
        <v>1.2</v>
      </c>
      <c r="C12" s="24" t="s">
        <v>1209</v>
      </c>
      <c r="D12" s="25" t="s">
        <v>1226</v>
      </c>
      <c r="E12" s="17"/>
      <c r="F12" s="17"/>
      <c r="G12" s="17"/>
      <c r="H12" s="17"/>
      <c r="I12" s="17"/>
    </row>
    <row r="13" ht="18.75" customHeight="1">
      <c r="A13" s="22" t="s">
        <v>1227</v>
      </c>
      <c r="B13" s="106">
        <v>4.8</v>
      </c>
      <c r="C13" s="24" t="s">
        <v>1209</v>
      </c>
      <c r="D13" s="25" t="s">
        <v>1228</v>
      </c>
      <c r="E13" s="17"/>
      <c r="F13" s="17"/>
      <c r="G13" s="17"/>
      <c r="H13" s="17"/>
      <c r="I13" s="17"/>
    </row>
    <row r="14" ht="15.0" customHeight="1">
      <c r="A14" s="22" t="s">
        <v>1229</v>
      </c>
      <c r="B14" s="106">
        <v>60.0</v>
      </c>
      <c r="C14" s="24" t="s">
        <v>1209</v>
      </c>
      <c r="D14" s="25" t="s">
        <v>1230</v>
      </c>
      <c r="E14" s="17"/>
      <c r="F14" s="17"/>
      <c r="G14" s="17"/>
      <c r="H14" s="17"/>
      <c r="I14" s="17"/>
    </row>
    <row r="15" ht="15.0" customHeight="1">
      <c r="A15" s="22" t="s">
        <v>1231</v>
      </c>
      <c r="B15" s="106">
        <v>40.0</v>
      </c>
      <c r="C15" s="24" t="s">
        <v>1209</v>
      </c>
      <c r="D15" s="25" t="s">
        <v>1232</v>
      </c>
      <c r="E15" s="17"/>
      <c r="F15" s="17"/>
      <c r="G15" s="17"/>
      <c r="H15" s="17"/>
      <c r="I15" s="17"/>
    </row>
    <row r="16" ht="15.0" customHeight="1">
      <c r="A16" s="22" t="s">
        <v>1233</v>
      </c>
      <c r="B16" s="106">
        <v>0.3</v>
      </c>
      <c r="C16" s="24" t="s">
        <v>1209</v>
      </c>
      <c r="D16" s="25" t="s">
        <v>1234</v>
      </c>
      <c r="E16" s="17"/>
      <c r="F16" s="17"/>
      <c r="G16" s="17"/>
      <c r="H16" s="17"/>
      <c r="I16" s="17"/>
    </row>
    <row r="17" ht="15.0" customHeight="1">
      <c r="A17" s="30" t="s">
        <v>1235</v>
      </c>
      <c r="B17" s="107">
        <f>B6-2*B7</f>
        <v>9</v>
      </c>
      <c r="C17" s="24" t="s">
        <v>1209</v>
      </c>
      <c r="D17" s="25" t="s">
        <v>1236</v>
      </c>
      <c r="E17" s="17"/>
      <c r="F17" s="17"/>
      <c r="G17" s="17"/>
      <c r="H17" s="17"/>
      <c r="I17" s="17"/>
    </row>
    <row r="18" ht="18.75" customHeight="1">
      <c r="A18" s="30" t="s">
        <v>1237</v>
      </c>
      <c r="B18" s="107">
        <f>B10+B11+B13+B16</f>
        <v>9.1</v>
      </c>
      <c r="C18" s="24" t="s">
        <v>1209</v>
      </c>
      <c r="D18" s="25" t="s">
        <v>1238</v>
      </c>
      <c r="E18" s="17"/>
      <c r="F18" s="17"/>
      <c r="G18" s="17"/>
      <c r="H18" s="17"/>
      <c r="I18" s="17"/>
    </row>
    <row r="19" ht="18.75" customHeight="1">
      <c r="A19" s="30" t="s">
        <v>1239</v>
      </c>
      <c r="B19" s="108" t="str">
        <f>IF(B18&lt;=B17," FITS — stack ≤ internal height"," OVERFLOW — redesign")</f>
        <v> OVERFLOW — redesign</v>
      </c>
      <c r="C19" s="24" t="s">
        <v>28</v>
      </c>
      <c r="D19" s="25" t="s">
        <v>1240</v>
      </c>
      <c r="E19" s="17"/>
      <c r="F19" s="17"/>
      <c r="G19" s="17"/>
      <c r="H19" s="17"/>
      <c r="I19" s="17"/>
    </row>
    <row r="20" ht="15.0" customHeight="1">
      <c r="A20" s="30" t="s">
        <v>1241</v>
      </c>
      <c r="B20" s="108">
        <f>2*(B4+B5)</f>
        <v>320</v>
      </c>
      <c r="C20" s="24" t="s">
        <v>1209</v>
      </c>
      <c r="D20" s="25" t="s">
        <v>1242</v>
      </c>
      <c r="E20" s="17"/>
      <c r="F20" s="17"/>
      <c r="G20" s="17"/>
      <c r="H20" s="17"/>
      <c r="I20" s="17"/>
    </row>
    <row r="21" ht="15.0" customHeight="1">
      <c r="A21" s="22" t="s">
        <v>1243</v>
      </c>
      <c r="B21" s="106">
        <v>3.2</v>
      </c>
      <c r="C21" s="24" t="s">
        <v>1209</v>
      </c>
      <c r="D21" s="25" t="s">
        <v>1244</v>
      </c>
      <c r="E21" s="17"/>
      <c r="F21" s="17"/>
      <c r="G21" s="17"/>
      <c r="H21" s="17"/>
      <c r="I21" s="17"/>
    </row>
    <row r="22" ht="15.0" customHeight="1">
      <c r="A22" s="22" t="s">
        <v>1245</v>
      </c>
      <c r="B22" s="106">
        <v>3.0</v>
      </c>
      <c r="C22" s="24" t="s">
        <v>1209</v>
      </c>
      <c r="D22" s="25" t="s">
        <v>1246</v>
      </c>
      <c r="E22" s="17"/>
      <c r="F22" s="17"/>
      <c r="G22" s="17"/>
      <c r="H22" s="17"/>
      <c r="I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ht="16.5" customHeight="1">
      <c r="A24" s="105" t="s">
        <v>1247</v>
      </c>
      <c r="B24" s="2"/>
      <c r="C24" s="2"/>
      <c r="D24" s="2"/>
      <c r="E24" s="2"/>
      <c r="F24" s="2"/>
      <c r="G24" s="2"/>
      <c r="H24" s="2"/>
      <c r="I24" s="3"/>
    </row>
    <row r="25" ht="21.75" customHeight="1">
      <c r="A25" s="82" t="s">
        <v>590</v>
      </c>
      <c r="B25" s="82" t="s">
        <v>9</v>
      </c>
      <c r="C25" s="82" t="s">
        <v>1248</v>
      </c>
      <c r="D25" s="82" t="s">
        <v>1249</v>
      </c>
      <c r="E25" s="82" t="s">
        <v>1250</v>
      </c>
      <c r="F25" s="82" t="s">
        <v>1251</v>
      </c>
      <c r="G25" s="82" t="s">
        <v>15</v>
      </c>
      <c r="H25" s="82" t="s">
        <v>526</v>
      </c>
      <c r="I25" s="17"/>
    </row>
    <row r="26" ht="36.75" customHeight="1">
      <c r="A26" s="12" t="s">
        <v>1252</v>
      </c>
      <c r="B26" s="11">
        <v>1.0</v>
      </c>
      <c r="C26" s="109">
        <f>B8*B9*B10/1000*2.1</f>
        <v>19.58544</v>
      </c>
      <c r="D26" s="109">
        <f t="shared" ref="D26:D58" si="1">B26*C26</f>
        <v>19.58544</v>
      </c>
      <c r="E26" s="12" t="s">
        <v>1253</v>
      </c>
      <c r="F26" s="12" t="s">
        <v>1254</v>
      </c>
      <c r="G26" s="12" t="s">
        <v>1255</v>
      </c>
      <c r="H26" s="13" t="s">
        <v>1256</v>
      </c>
      <c r="I26" s="17"/>
    </row>
    <row r="27" ht="18.75" customHeight="1">
      <c r="A27" s="8" t="s">
        <v>1257</v>
      </c>
      <c r="B27" s="7">
        <v>1.0</v>
      </c>
      <c r="C27" s="110">
        <v>0.38</v>
      </c>
      <c r="D27" s="110">
        <f t="shared" si="1"/>
        <v>0.38</v>
      </c>
      <c r="E27" s="8" t="s">
        <v>1258</v>
      </c>
      <c r="F27" s="8" t="s">
        <v>1259</v>
      </c>
      <c r="G27" s="8" t="s">
        <v>1260</v>
      </c>
      <c r="H27" s="9" t="s">
        <v>1261</v>
      </c>
      <c r="I27" s="17"/>
    </row>
    <row r="28" ht="15.0" customHeight="1">
      <c r="A28" s="12" t="s">
        <v>1262</v>
      </c>
      <c r="B28" s="11">
        <v>1.0</v>
      </c>
      <c r="C28" s="109">
        <v>0.16</v>
      </c>
      <c r="D28" s="109">
        <f t="shared" si="1"/>
        <v>0.16</v>
      </c>
      <c r="E28" s="12" t="s">
        <v>1258</v>
      </c>
      <c r="F28" s="12" t="s">
        <v>1263</v>
      </c>
      <c r="G28" s="12" t="s">
        <v>1260</v>
      </c>
      <c r="H28" s="13" t="s">
        <v>1264</v>
      </c>
      <c r="I28" s="17"/>
    </row>
    <row r="29" ht="18.75" customHeight="1">
      <c r="A29" s="8" t="s">
        <v>860</v>
      </c>
      <c r="B29" s="7">
        <v>1.0</v>
      </c>
      <c r="C29" s="110">
        <v>2.3</v>
      </c>
      <c r="D29" s="110">
        <f t="shared" si="1"/>
        <v>2.3</v>
      </c>
      <c r="E29" s="8" t="s">
        <v>1265</v>
      </c>
      <c r="F29" s="8" t="s">
        <v>1266</v>
      </c>
      <c r="G29" s="8" t="s">
        <v>1260</v>
      </c>
      <c r="H29" s="9" t="s">
        <v>1267</v>
      </c>
      <c r="I29" s="17"/>
    </row>
    <row r="30" ht="15.0" customHeight="1">
      <c r="A30" s="12" t="s">
        <v>1132</v>
      </c>
      <c r="B30" s="11">
        <v>1.0</v>
      </c>
      <c r="C30" s="109">
        <v>0.06</v>
      </c>
      <c r="D30" s="109">
        <f t="shared" si="1"/>
        <v>0.06</v>
      </c>
      <c r="E30" s="12" t="s">
        <v>1268</v>
      </c>
      <c r="F30" s="12" t="s">
        <v>1269</v>
      </c>
      <c r="G30" s="12" t="s">
        <v>1260</v>
      </c>
      <c r="H30" s="13" t="s">
        <v>1270</v>
      </c>
      <c r="I30" s="17"/>
    </row>
    <row r="31" ht="15.0" customHeight="1">
      <c r="A31" s="8" t="s">
        <v>1271</v>
      </c>
      <c r="B31" s="7">
        <v>1.0</v>
      </c>
      <c r="C31" s="110">
        <v>0.12</v>
      </c>
      <c r="D31" s="110">
        <f t="shared" si="1"/>
        <v>0.12</v>
      </c>
      <c r="E31" s="8" t="s">
        <v>1258</v>
      </c>
      <c r="F31" s="8" t="s">
        <v>1272</v>
      </c>
      <c r="G31" s="8" t="s">
        <v>1260</v>
      </c>
      <c r="H31" s="9" t="s">
        <v>1273</v>
      </c>
      <c r="I31" s="17"/>
    </row>
    <row r="32" ht="15.0" customHeight="1">
      <c r="A32" s="12" t="s">
        <v>1274</v>
      </c>
      <c r="B32" s="11">
        <v>1.0</v>
      </c>
      <c r="C32" s="109">
        <v>0.05</v>
      </c>
      <c r="D32" s="109">
        <f t="shared" si="1"/>
        <v>0.05</v>
      </c>
      <c r="E32" s="12" t="s">
        <v>1275</v>
      </c>
      <c r="F32" s="12" t="s">
        <v>1276</v>
      </c>
      <c r="G32" s="12" t="s">
        <v>1260</v>
      </c>
      <c r="H32" s="13" t="s">
        <v>1277</v>
      </c>
      <c r="I32" s="17"/>
    </row>
    <row r="33" ht="18.75" customHeight="1">
      <c r="A33" s="8" t="s">
        <v>608</v>
      </c>
      <c r="B33" s="7">
        <v>1.0</v>
      </c>
      <c r="C33" s="110">
        <v>0.45</v>
      </c>
      <c r="D33" s="110">
        <f t="shared" si="1"/>
        <v>0.45</v>
      </c>
      <c r="E33" s="8" t="s">
        <v>1258</v>
      </c>
      <c r="F33" s="8" t="s">
        <v>1278</v>
      </c>
      <c r="G33" s="8" t="s">
        <v>1260</v>
      </c>
      <c r="H33" s="9" t="s">
        <v>1279</v>
      </c>
      <c r="I33" s="17"/>
    </row>
    <row r="34" ht="18.75" customHeight="1">
      <c r="A34" s="12" t="s">
        <v>1280</v>
      </c>
      <c r="B34" s="11">
        <v>2.0</v>
      </c>
      <c r="C34" s="109">
        <v>0.12</v>
      </c>
      <c r="D34" s="109">
        <f t="shared" si="1"/>
        <v>0.24</v>
      </c>
      <c r="E34" s="12" t="s">
        <v>1281</v>
      </c>
      <c r="F34" s="12" t="s">
        <v>1282</v>
      </c>
      <c r="G34" s="12" t="s">
        <v>1260</v>
      </c>
      <c r="H34" s="13" t="s">
        <v>1283</v>
      </c>
      <c r="I34" s="17"/>
    </row>
    <row r="35" ht="18.75" customHeight="1">
      <c r="A35" s="8" t="s">
        <v>1284</v>
      </c>
      <c r="B35" s="7">
        <v>2.0</v>
      </c>
      <c r="C35" s="110">
        <v>0.17</v>
      </c>
      <c r="D35" s="110">
        <f t="shared" si="1"/>
        <v>0.34</v>
      </c>
      <c r="E35" s="8" t="s">
        <v>1285</v>
      </c>
      <c r="F35" s="8" t="s">
        <v>1286</v>
      </c>
      <c r="G35" s="8" t="s">
        <v>1260</v>
      </c>
      <c r="H35" s="9" t="s">
        <v>1287</v>
      </c>
      <c r="I35" s="17"/>
    </row>
    <row r="36" ht="15.0" customHeight="1">
      <c r="A36" s="12" t="s">
        <v>605</v>
      </c>
      <c r="B36" s="11">
        <v>1.0</v>
      </c>
      <c r="C36" s="109">
        <v>0.05</v>
      </c>
      <c r="D36" s="109">
        <f t="shared" si="1"/>
        <v>0.05</v>
      </c>
      <c r="E36" s="12" t="s">
        <v>1288</v>
      </c>
      <c r="F36" s="12" t="s">
        <v>1289</v>
      </c>
      <c r="G36" s="12" t="s">
        <v>1260</v>
      </c>
      <c r="H36" s="13" t="s">
        <v>1290</v>
      </c>
      <c r="I36" s="17"/>
    </row>
    <row r="37" ht="15.0" customHeight="1">
      <c r="A37" s="8" t="s">
        <v>145</v>
      </c>
      <c r="B37" s="7">
        <v>1.0</v>
      </c>
      <c r="C37" s="110">
        <v>0.2</v>
      </c>
      <c r="D37" s="110">
        <f t="shared" si="1"/>
        <v>0.2</v>
      </c>
      <c r="E37" s="8" t="s">
        <v>1291</v>
      </c>
      <c r="F37" s="8" t="s">
        <v>1292</v>
      </c>
      <c r="G37" s="8" t="s">
        <v>1293</v>
      </c>
      <c r="H37" s="9" t="s">
        <v>1294</v>
      </c>
      <c r="I37" s="17"/>
    </row>
    <row r="38" ht="15.0" customHeight="1">
      <c r="A38" s="12" t="s">
        <v>1295</v>
      </c>
      <c r="B38" s="11">
        <v>1.0</v>
      </c>
      <c r="C38" s="109">
        <v>0.08</v>
      </c>
      <c r="D38" s="109">
        <f t="shared" si="1"/>
        <v>0.08</v>
      </c>
      <c r="E38" s="12" t="s">
        <v>1296</v>
      </c>
      <c r="F38" s="12" t="s">
        <v>1297</v>
      </c>
      <c r="G38" s="12" t="s">
        <v>1293</v>
      </c>
      <c r="H38" s="13" t="s">
        <v>1298</v>
      </c>
      <c r="I38" s="17"/>
    </row>
    <row r="39" ht="15.0" customHeight="1">
      <c r="A39" s="8" t="s">
        <v>1299</v>
      </c>
      <c r="B39" s="7">
        <v>65.0</v>
      </c>
      <c r="C39" s="110">
        <v>0.008</v>
      </c>
      <c r="D39" s="110">
        <f t="shared" si="1"/>
        <v>0.52</v>
      </c>
      <c r="E39" s="8" t="s">
        <v>1300</v>
      </c>
      <c r="F39" s="8" t="s">
        <v>1301</v>
      </c>
      <c r="G39" s="8" t="s">
        <v>1302</v>
      </c>
      <c r="H39" s="9" t="s">
        <v>1303</v>
      </c>
      <c r="I39" s="17"/>
    </row>
    <row r="40" ht="15.0" customHeight="1">
      <c r="A40" s="12" t="s">
        <v>1304</v>
      </c>
      <c r="B40" s="11">
        <v>40.0</v>
      </c>
      <c r="C40" s="109">
        <v>0.004</v>
      </c>
      <c r="D40" s="109">
        <f t="shared" si="1"/>
        <v>0.16</v>
      </c>
      <c r="E40" s="12" t="s">
        <v>1305</v>
      </c>
      <c r="F40" s="12" t="s">
        <v>1306</v>
      </c>
      <c r="G40" s="12" t="s">
        <v>1302</v>
      </c>
      <c r="H40" s="13" t="s">
        <v>1307</v>
      </c>
      <c r="I40" s="17"/>
    </row>
    <row r="41" ht="15.0" customHeight="1">
      <c r="A41" s="8" t="s">
        <v>1308</v>
      </c>
      <c r="B41" s="7">
        <v>17.0</v>
      </c>
      <c r="C41" s="110">
        <v>0.018</v>
      </c>
      <c r="D41" s="110">
        <f t="shared" si="1"/>
        <v>0.306</v>
      </c>
      <c r="E41" s="8" t="s">
        <v>1309</v>
      </c>
      <c r="F41" s="8" t="s">
        <v>1310</v>
      </c>
      <c r="G41" s="8" t="s">
        <v>1302</v>
      </c>
      <c r="H41" s="9" t="s">
        <v>1311</v>
      </c>
      <c r="I41" s="17"/>
    </row>
    <row r="42" ht="15.0" customHeight="1">
      <c r="A42" s="12" t="s">
        <v>1312</v>
      </c>
      <c r="B42" s="11">
        <v>6.0</v>
      </c>
      <c r="C42" s="109">
        <v>0.02</v>
      </c>
      <c r="D42" s="109">
        <f t="shared" si="1"/>
        <v>0.12</v>
      </c>
      <c r="E42" s="12" t="s">
        <v>1313</v>
      </c>
      <c r="F42" s="12" t="s">
        <v>1314</v>
      </c>
      <c r="G42" s="12" t="s">
        <v>1302</v>
      </c>
      <c r="H42" s="13" t="s">
        <v>1315</v>
      </c>
      <c r="I42" s="17"/>
    </row>
    <row r="43" ht="15.0" customHeight="1">
      <c r="A43" s="8" t="s">
        <v>1316</v>
      </c>
      <c r="B43" s="7">
        <v>1.0</v>
      </c>
      <c r="C43" s="110">
        <v>0.35</v>
      </c>
      <c r="D43" s="110">
        <f t="shared" si="1"/>
        <v>0.35</v>
      </c>
      <c r="E43" s="8" t="s">
        <v>1317</v>
      </c>
      <c r="F43" s="8" t="s">
        <v>1318</v>
      </c>
      <c r="G43" s="8" t="s">
        <v>706</v>
      </c>
      <c r="H43" s="9" t="s">
        <v>1319</v>
      </c>
      <c r="I43" s="17"/>
    </row>
    <row r="44" ht="15.0" customHeight="1">
      <c r="A44" s="12" t="s">
        <v>1320</v>
      </c>
      <c r="B44" s="11">
        <v>1.0</v>
      </c>
      <c r="C44" s="109">
        <v>0.55</v>
      </c>
      <c r="D44" s="109">
        <f t="shared" si="1"/>
        <v>0.55</v>
      </c>
      <c r="E44" s="12" t="s">
        <v>1321</v>
      </c>
      <c r="F44" s="12" t="s">
        <v>1322</v>
      </c>
      <c r="G44" s="12" t="s">
        <v>401</v>
      </c>
      <c r="H44" s="13" t="s">
        <v>1323</v>
      </c>
      <c r="I44" s="17"/>
    </row>
    <row r="45" ht="15.0" customHeight="1">
      <c r="A45" s="8" t="s">
        <v>1324</v>
      </c>
      <c r="B45" s="7">
        <v>1.0</v>
      </c>
      <c r="C45" s="110">
        <v>0.22</v>
      </c>
      <c r="D45" s="110">
        <f t="shared" si="1"/>
        <v>0.22</v>
      </c>
      <c r="E45" s="8" t="s">
        <v>1325</v>
      </c>
      <c r="F45" s="8" t="s">
        <v>1326</v>
      </c>
      <c r="G45" s="8" t="s">
        <v>401</v>
      </c>
      <c r="H45" s="9" t="s">
        <v>1327</v>
      </c>
      <c r="I45" s="17"/>
    </row>
    <row r="46" ht="15.0" customHeight="1">
      <c r="A46" s="12" t="s">
        <v>1328</v>
      </c>
      <c r="B46" s="11">
        <v>1.0</v>
      </c>
      <c r="C46" s="109">
        <v>1.2</v>
      </c>
      <c r="D46" s="109">
        <f t="shared" si="1"/>
        <v>1.2</v>
      </c>
      <c r="E46" s="12" t="s">
        <v>1329</v>
      </c>
      <c r="F46" s="12" t="s">
        <v>1330</v>
      </c>
      <c r="G46" s="12" t="s">
        <v>401</v>
      </c>
      <c r="H46" s="13" t="s">
        <v>1331</v>
      </c>
      <c r="I46" s="17"/>
    </row>
    <row r="47" ht="15.0" customHeight="1">
      <c r="A47" s="8" t="s">
        <v>1332</v>
      </c>
      <c r="B47" s="7">
        <v>2.0</v>
      </c>
      <c r="C47" s="110">
        <v>0.14</v>
      </c>
      <c r="D47" s="110">
        <f t="shared" si="1"/>
        <v>0.28</v>
      </c>
      <c r="E47" s="8" t="s">
        <v>1333</v>
      </c>
      <c r="F47" s="8" t="s">
        <v>1334</v>
      </c>
      <c r="G47" s="8" t="s">
        <v>401</v>
      </c>
      <c r="H47" s="9" t="s">
        <v>1335</v>
      </c>
      <c r="I47" s="17"/>
    </row>
    <row r="48" ht="15.0" customHeight="1">
      <c r="A48" s="12" t="s">
        <v>1336</v>
      </c>
      <c r="B48" s="11">
        <v>1.0</v>
      </c>
      <c r="C48" s="109">
        <v>2.85</v>
      </c>
      <c r="D48" s="109">
        <f t="shared" si="1"/>
        <v>2.85</v>
      </c>
      <c r="E48" s="12" t="s">
        <v>1337</v>
      </c>
      <c r="F48" s="12" t="s">
        <v>1338</v>
      </c>
      <c r="G48" s="12" t="s">
        <v>1339</v>
      </c>
      <c r="H48" s="13" t="s">
        <v>1340</v>
      </c>
      <c r="I48" s="17"/>
    </row>
    <row r="49" ht="18.75" customHeight="1">
      <c r="A49" s="8" t="s">
        <v>1341</v>
      </c>
      <c r="B49" s="7">
        <v>6.0</v>
      </c>
      <c r="C49" s="110">
        <v>0.015</v>
      </c>
      <c r="D49" s="110">
        <f t="shared" si="1"/>
        <v>0.09</v>
      </c>
      <c r="E49" s="8" t="s">
        <v>1342</v>
      </c>
      <c r="F49" s="8" t="s">
        <v>1343</v>
      </c>
      <c r="G49" s="8" t="s">
        <v>1344</v>
      </c>
      <c r="H49" s="9" t="s">
        <v>1345</v>
      </c>
      <c r="I49" s="17"/>
    </row>
    <row r="50" ht="15.0" customHeight="1">
      <c r="A50" s="12" t="s">
        <v>1346</v>
      </c>
      <c r="B50" s="11">
        <v>1.0</v>
      </c>
      <c r="C50" s="109">
        <v>2.2</v>
      </c>
      <c r="D50" s="109">
        <f t="shared" si="1"/>
        <v>2.2</v>
      </c>
      <c r="E50" s="12" t="s">
        <v>1347</v>
      </c>
      <c r="F50" s="12" t="s">
        <v>1348</v>
      </c>
      <c r="G50" s="12" t="s">
        <v>1349</v>
      </c>
      <c r="H50" s="13" t="s">
        <v>1350</v>
      </c>
      <c r="I50" s="17"/>
    </row>
    <row r="51" ht="15.0" customHeight="1">
      <c r="A51" s="8" t="s">
        <v>1351</v>
      </c>
      <c r="B51" s="7">
        <v>1.0</v>
      </c>
      <c r="C51" s="110">
        <v>0.9</v>
      </c>
      <c r="D51" s="110">
        <f t="shared" si="1"/>
        <v>0.9</v>
      </c>
      <c r="E51" s="8" t="s">
        <v>1352</v>
      </c>
      <c r="F51" s="8" t="s">
        <v>1353</v>
      </c>
      <c r="G51" s="8" t="s">
        <v>1349</v>
      </c>
      <c r="H51" s="9" t="s">
        <v>1354</v>
      </c>
      <c r="I51" s="17"/>
    </row>
    <row r="52" ht="15.0" customHeight="1">
      <c r="A52" s="12" t="s">
        <v>1355</v>
      </c>
      <c r="B52" s="11">
        <v>1.0</v>
      </c>
      <c r="C52" s="109">
        <v>55.0</v>
      </c>
      <c r="D52" s="109">
        <f t="shared" si="1"/>
        <v>55</v>
      </c>
      <c r="E52" s="12" t="s">
        <v>1356</v>
      </c>
      <c r="F52" s="12" t="s">
        <v>1357</v>
      </c>
      <c r="G52" s="12" t="s">
        <v>1358</v>
      </c>
      <c r="H52" s="13" t="s">
        <v>1359</v>
      </c>
      <c r="I52" s="17"/>
    </row>
    <row r="53" ht="15.0" customHeight="1">
      <c r="A53" s="8" t="s">
        <v>1360</v>
      </c>
      <c r="B53" s="7">
        <v>1.0</v>
      </c>
      <c r="C53" s="110">
        <v>2.5</v>
      </c>
      <c r="D53" s="110">
        <f t="shared" si="1"/>
        <v>2.5</v>
      </c>
      <c r="E53" s="8" t="s">
        <v>1361</v>
      </c>
      <c r="F53" s="8" t="s">
        <v>1362</v>
      </c>
      <c r="G53" s="8" t="s">
        <v>1358</v>
      </c>
      <c r="H53" s="9" t="s">
        <v>1363</v>
      </c>
      <c r="I53" s="17"/>
    </row>
    <row r="54" ht="15.0" customHeight="1">
      <c r="A54" s="12" t="s">
        <v>1364</v>
      </c>
      <c r="B54" s="11" t="s">
        <v>1365</v>
      </c>
      <c r="C54" s="109">
        <f>B4*B5*B6/1000*1.05*0.22</f>
        <v>17.4636</v>
      </c>
      <c r="D54" s="109">
        <f t="shared" si="1"/>
        <v>17.4636</v>
      </c>
      <c r="E54" s="12" t="s">
        <v>1366</v>
      </c>
      <c r="F54" s="12" t="s">
        <v>1367</v>
      </c>
      <c r="G54" s="12" t="s">
        <v>1368</v>
      </c>
      <c r="H54" s="13" t="s">
        <v>1369</v>
      </c>
      <c r="I54" s="17"/>
    </row>
    <row r="55" ht="15.0" customHeight="1">
      <c r="A55" s="8" t="s">
        <v>1370</v>
      </c>
      <c r="B55" s="7" t="s">
        <v>1365</v>
      </c>
      <c r="C55" s="110">
        <f>B4*B5*B6/1000*1.05*0.18</f>
        <v>14.2884</v>
      </c>
      <c r="D55" s="110">
        <f t="shared" si="1"/>
        <v>14.2884</v>
      </c>
      <c r="E55" s="8" t="s">
        <v>1366</v>
      </c>
      <c r="F55" s="8" t="s">
        <v>1371</v>
      </c>
      <c r="G55" s="8" t="s">
        <v>1368</v>
      </c>
      <c r="H55" s="9" t="s">
        <v>1372</v>
      </c>
      <c r="I55" s="17"/>
    </row>
    <row r="56" ht="15.0" customHeight="1">
      <c r="A56" s="12" t="s">
        <v>1373</v>
      </c>
      <c r="B56" s="11">
        <v>1.0</v>
      </c>
      <c r="C56" s="109">
        <v>1.8</v>
      </c>
      <c r="D56" s="109">
        <f t="shared" si="1"/>
        <v>1.8</v>
      </c>
      <c r="E56" s="12" t="s">
        <v>1374</v>
      </c>
      <c r="F56" s="12" t="s">
        <v>1375</v>
      </c>
      <c r="G56" s="12" t="s">
        <v>1368</v>
      </c>
      <c r="H56" s="13" t="s">
        <v>1376</v>
      </c>
      <c r="I56" s="17"/>
    </row>
    <row r="57" ht="15.0" customHeight="1">
      <c r="A57" s="8" t="s">
        <v>1377</v>
      </c>
      <c r="B57" s="7">
        <v>4.0</v>
      </c>
      <c r="C57" s="110">
        <v>0.45</v>
      </c>
      <c r="D57" s="110">
        <f t="shared" si="1"/>
        <v>1.8</v>
      </c>
      <c r="E57" s="8" t="s">
        <v>1378</v>
      </c>
      <c r="F57" s="8" t="s">
        <v>1379</v>
      </c>
      <c r="G57" s="8" t="s">
        <v>1368</v>
      </c>
      <c r="H57" s="9" t="s">
        <v>1380</v>
      </c>
      <c r="I57" s="17"/>
    </row>
    <row r="58" ht="15.0" customHeight="1">
      <c r="A58" s="12" t="s">
        <v>1381</v>
      </c>
      <c r="B58" s="11">
        <v>1.0</v>
      </c>
      <c r="C58" s="109">
        <v>0.2</v>
      </c>
      <c r="D58" s="109">
        <f t="shared" si="1"/>
        <v>0.2</v>
      </c>
      <c r="E58" s="12" t="s">
        <v>1382</v>
      </c>
      <c r="F58" s="12" t="s">
        <v>1383</v>
      </c>
      <c r="G58" s="12" t="s">
        <v>1368</v>
      </c>
      <c r="H58" s="13" t="s">
        <v>1384</v>
      </c>
      <c r="I58" s="17"/>
    </row>
    <row r="59" ht="16.5" customHeight="1">
      <c r="A59" s="105" t="s">
        <v>1385</v>
      </c>
      <c r="B59" s="2"/>
      <c r="C59" s="2"/>
      <c r="D59" s="2"/>
      <c r="E59" s="2"/>
      <c r="F59" s="2"/>
      <c r="G59" s="2"/>
      <c r="H59" s="2"/>
      <c r="I59" s="3"/>
    </row>
    <row r="60" ht="21.75" customHeight="1">
      <c r="A60" s="111" t="s">
        <v>1386</v>
      </c>
      <c r="B60" s="112">
        <f>SUM(D26:D58)</f>
        <v>126.81344</v>
      </c>
      <c r="C60" s="113" t="s">
        <v>1387</v>
      </c>
      <c r="D60" s="114" t="s">
        <v>1388</v>
      </c>
      <c r="E60" s="17"/>
      <c r="F60" s="17"/>
      <c r="G60" s="17"/>
      <c r="H60" s="17"/>
      <c r="I60" s="17"/>
    </row>
    <row r="61" ht="15.75" customHeight="1">
      <c r="A61" s="115" t="s">
        <v>1389</v>
      </c>
      <c r="B61" s="116">
        <v>140.0</v>
      </c>
      <c r="C61" s="71" t="s">
        <v>1387</v>
      </c>
      <c r="D61" s="117" t="s">
        <v>1390</v>
      </c>
      <c r="E61" s="17"/>
      <c r="F61" s="17"/>
      <c r="G61" s="17"/>
      <c r="H61" s="17"/>
      <c r="I61" s="17"/>
    </row>
    <row r="62" ht="32.25" customHeight="1">
      <c r="A62" s="118" t="s">
        <v>1391</v>
      </c>
      <c r="B62" s="119">
        <f>B61-B60</f>
        <v>13.18656</v>
      </c>
      <c r="C62" s="64" t="s">
        <v>1387</v>
      </c>
      <c r="D62" s="40" t="s">
        <v>1392</v>
      </c>
      <c r="E62" s="17"/>
      <c r="F62" s="17"/>
      <c r="G62" s="17"/>
      <c r="H62" s="17"/>
      <c r="I62" s="17"/>
    </row>
    <row r="63" ht="15.0" customHeight="1">
      <c r="A63" s="49" t="s">
        <v>1393</v>
      </c>
      <c r="B63" s="120" t="str">
        <f>IF(B60&lt;=B61,"  PASS — Weight Under 140g Target","  FAIL — Reduce Component Mass")</f>
        <v>  PASS — Weight Under 140g Target</v>
      </c>
      <c r="C63" s="54"/>
      <c r="D63" s="54"/>
      <c r="E63" s="55"/>
      <c r="F63" s="17"/>
      <c r="G63" s="17"/>
      <c r="H63" s="17"/>
      <c r="I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</row>
  </sheetData>
  <mergeCells count="6">
    <mergeCell ref="A1:I1"/>
    <mergeCell ref="A2:I2"/>
    <mergeCell ref="A3:I3"/>
    <mergeCell ref="A24:I24"/>
    <mergeCell ref="A59:I59"/>
    <mergeCell ref="B63:E6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2026-04-08T18:23:44Z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