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OM" sheetId="1" state="visible" r:id="rId3"/>
    <sheet name="Power Simulation" sheetId="2" state="visible" r:id="rId4"/>
    <sheet name="Mechanical &amp; Weight" sheetId="3" state="visible" r:id="rId5"/>
  </sheets>
  <definedNames>
    <definedName function="false" hidden="true" localSheetId="0" name="_xlnm._FilterDatabase" vbProcedure="false">BOM!$A$3:$R$83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<sst xmlns="http://schemas.openxmlformats.org/spreadsheetml/2006/main" count="1445" uniqueCount="867">
  <si>
    <t xml:space="preserve">BILL OF MATERIALS — IoT Hardware Platform</t>
  </si>
  <si>
    <t xml:space="preserve">STM32WB55CG  |  Quectel L89H  |  Semtech LR1120  |  ISM330DLC  |  SE2435L PA/LNA FEM  |  SKY13585 RF-SW  |  IP67 Push Button</t>
  </si>
  <si>
    <t xml:space="preserve">#</t>
  </si>
  <si>
    <t xml:space="preserve">Reference Des.</t>
  </si>
  <si>
    <t xml:space="preserve">Description</t>
  </si>
  <si>
    <t xml:space="preserve">Manufacturer</t>
  </si>
  <si>
    <t xml:space="preserve">Part Number</t>
  </si>
  <si>
    <t xml:space="preserve">Package</t>
  </si>
  <si>
    <t xml:space="preserve">Value / Spec</t>
  </si>
  <si>
    <t xml:space="preserve">Qty</t>
  </si>
  <si>
    <t xml:space="preserve">Unit Price ($)</t>
  </si>
  <si>
    <t xml:space="preserve">Ext. Price ($)</t>
  </si>
  <si>
    <t xml:space="preserve">Footprint</t>
  </si>
  <si>
    <t xml:space="preserve">Voltage Rating</t>
  </si>
  <si>
    <t xml:space="preserve">Temp Range (°C)</t>
  </si>
  <si>
    <t xml:space="preserve">Tolerance</t>
  </si>
  <si>
    <t xml:space="preserve">Category</t>
  </si>
  <si>
    <t xml:space="preserve">Source / Notes</t>
  </si>
  <si>
    <t xml:space="preserve">DNP</t>
  </si>
  <si>
    <t xml:space="preserve">Approved Alt.</t>
  </si>
  <si>
    <t xml:space="preserve">  ▶  ICs — MICROCONTROLLER &amp; WIRELESS</t>
  </si>
  <si>
    <t xml:space="preserve">U1</t>
  </si>
  <si>
    <t xml:space="preserve">MCU + BLE 5.0 SoC</t>
  </si>
  <si>
    <t xml:space="preserve">STMicroelectronics</t>
  </si>
  <si>
    <t xml:space="preserve">STM32WB55CGU6TR</t>
  </si>
  <si>
    <t xml:space="preserve">QFN-48 7×7mm</t>
  </si>
  <si>
    <t xml:space="preserve">Cortex-M4/M0+, 1MB Flash, 256KB RAM, BLE5</t>
  </si>
  <si>
    <t xml:space="preserve">16V min</t>
  </si>
  <si>
    <t xml:space="preserve">-40 to +85</t>
  </si>
  <si>
    <t xml:space="preserve">See spec</t>
  </si>
  <si>
    <t xml:space="preserve">IC – MCU</t>
  </si>
  <si>
    <t xml:space="preserve">Main application processor + BLE stack; 3.3V supply</t>
  </si>
  <si>
    <t xml:space="preserve">N</t>
  </si>
  <si>
    <t xml:space="preserve">STM32WB55RGV6TR</t>
  </si>
  <si>
    <t xml:space="preserve">U2</t>
  </si>
  <si>
    <t xml:space="preserve">LoRa Edge Transceiver</t>
  </si>
  <si>
    <t xml:space="preserve">Semtech</t>
  </si>
  <si>
    <t xml:space="preserve">LR1120IMLTRT</t>
  </si>
  <si>
    <t xml:space="preserve">QFN-32 5×5mm</t>
  </si>
  <si>
    <t xml:space="preserve">Sub-GHz+2.4GHz+S-Band, GNSS, WiFi scan, LR-FHSS</t>
  </si>
  <si>
    <t xml:space="preserve">IC – RF</t>
  </si>
  <si>
    <t xml:space="preserve">SPI host; DIO1-4 to STM32; TCXO ref required</t>
  </si>
  <si>
    <t xml:space="preserve">LR1110IMLTRT</t>
  </si>
  <si>
    <t xml:space="preserve">U3</t>
  </si>
  <si>
    <t xml:space="preserve">GNSS Receiver Module</t>
  </si>
  <si>
    <t xml:space="preserve">Quectel</t>
  </si>
  <si>
    <t xml:space="preserve">L89HAAMD</t>
  </si>
  <si>
    <t xml:space="preserve">LCC-52 17×15mm</t>
  </si>
  <si>
    <t xml:space="preserve">NavIC L1+L5, GPS, GLONASS, BeiDou, 50ch</t>
  </si>
  <si>
    <t xml:space="preserve">IC – GNSS</t>
  </si>
  <si>
    <t xml:space="preserve">UART to STM32; 1PPS output; needs 3.3V LDO</t>
  </si>
  <si>
    <t xml:space="preserve">L89HAALA</t>
  </si>
  <si>
    <t xml:space="preserve">U4</t>
  </si>
  <si>
    <t xml:space="preserve">6-DOF IMU</t>
  </si>
  <si>
    <t xml:space="preserve">ISM330DLCTR</t>
  </si>
  <si>
    <t xml:space="preserve">LGA-14 2.5×3mm</t>
  </si>
  <si>
    <t xml:space="preserve">±16g accel, ±2000dps gyro, I2C/SPI</t>
  </si>
  <si>
    <t xml:space="preserve">IC – Sensor</t>
  </si>
  <si>
    <t xml:space="preserve">I2C to STM32; INT1/INT2 wakeup lines</t>
  </si>
  <si>
    <t xml:space="preserve">LSM6DSL</t>
  </si>
  <si>
    <t xml:space="preserve">U5</t>
  </si>
  <si>
    <t xml:space="preserve">Sub-GHz PA+LNA FEM</t>
  </si>
  <si>
    <t xml:space="preserve">Skyworks Solutions</t>
  </si>
  <si>
    <t xml:space="preserve">SE2435L</t>
  </si>
  <si>
    <t xml:space="preserve">QFN-12 3×3mm</t>
  </si>
  <si>
    <t xml:space="preserve">27dBm TX PA, LNA NF 1.2dB, 868/915MHz SPDT FEM</t>
  </si>
  <si>
    <t xml:space="preserve">IC – RF FEM</t>
  </si>
  <si>
    <t xml:space="preserve">Replaces ext PA+LNA+switch; CSD pin for LR1120 DIO</t>
  </si>
  <si>
    <t xml:space="preserve">RFFM4202</t>
  </si>
  <si>
    <t xml:space="preserve">U6</t>
  </si>
  <si>
    <t xml:space="preserve">SPDT RF Switch (Ant Mux)</t>
  </si>
  <si>
    <t xml:space="preserve">SKY13585-460LF</t>
  </si>
  <si>
    <t xml:space="preserve">SOT-26 SC-74</t>
  </si>
  <si>
    <t xml:space="preserve">0.1-6GHz, Roff=infinity, Rin=0.5dB IL, 35dBm</t>
  </si>
  <si>
    <t xml:space="preserve">IC – RF Switch</t>
  </si>
  <si>
    <t xml:space="preserve">Antenna path multiplexer for LR1120 HF/LF ports</t>
  </si>
  <si>
    <t xml:space="preserve">PE4259-63</t>
  </si>
  <si>
    <t xml:space="preserve">U7</t>
  </si>
  <si>
    <t xml:space="preserve">3.3V Buck Regulator</t>
  </si>
  <si>
    <t xml:space="preserve">Texas Instruments</t>
  </si>
  <si>
    <t xml:space="preserve">TPS62740DSST</t>
  </si>
  <si>
    <t xml:space="preserve">WSON-8 2×2mm</t>
  </si>
  <si>
    <t xml:space="preserve">1.8-3.3V out, 300mA, Iq=360nA, Vin 1.8-5.5V</t>
  </si>
  <si>
    <t xml:space="preserve">IC – Power</t>
  </si>
  <si>
    <t xml:space="preserve">Main 3.3V rail; EN tied to MCU GPIO for shutdown</t>
  </si>
  <si>
    <t xml:space="preserve">TPS62745</t>
  </si>
  <si>
    <t xml:space="preserve">U8</t>
  </si>
  <si>
    <t xml:space="preserve">3.3V LDO (GNSS/RF)</t>
  </si>
  <si>
    <t xml:space="preserve">LP5907MFX-3.3</t>
  </si>
  <si>
    <t xml:space="preserve">SOT-23-5</t>
  </si>
  <si>
    <t xml:space="preserve">3.3V, 250mA, PSRR 72dB, ultra-low noise for GNSS</t>
  </si>
  <si>
    <t xml:space="preserve">Clean supply for L89H RF section and LR1120 Vdd_rf</t>
  </si>
  <si>
    <t xml:space="preserve">AP7381-33Y</t>
  </si>
  <si>
    <t xml:space="preserve">U9</t>
  </si>
  <si>
    <t xml:space="preserve">Charger + Fuel Gauge</t>
  </si>
  <si>
    <t xml:space="preserve">BQ27427YZFT</t>
  </si>
  <si>
    <t xml:space="preserve">DSBGA-9 1.6×1.5mm</t>
  </si>
  <si>
    <t xml:space="preserve">LiPo gauge, I2C, SoC/SoH, 1-cell</t>
  </si>
  <si>
    <t xml:space="preserve">Reports battery % to STM32 over I2C; GPOUT alert</t>
  </si>
  <si>
    <t xml:space="preserve">LC709203F</t>
  </si>
  <si>
    <t xml:space="preserve">U10</t>
  </si>
  <si>
    <t xml:space="preserve">Li-Ion Charger IC</t>
  </si>
  <si>
    <t xml:space="preserve">BQ24040DSGR</t>
  </si>
  <si>
    <t xml:space="preserve">USB/Vin charger, 800mA max, 4.2V preset</t>
  </si>
  <si>
    <t xml:space="preserve">Charges 3000-3500mAh LiPo from USB-C VBUS</t>
  </si>
  <si>
    <t xml:space="preserve">TP4056</t>
  </si>
  <si>
    <t xml:space="preserve">U11</t>
  </si>
  <si>
    <t xml:space="preserve">USB-C PD Controller</t>
  </si>
  <si>
    <t xml:space="preserve">INJOINIC</t>
  </si>
  <si>
    <t xml:space="preserve">IP2725</t>
  </si>
  <si>
    <t xml:space="preserve">SOT-23-6</t>
  </si>
  <si>
    <t xml:space="preserve">5V/2A USB PD sink, BC1.2</t>
  </si>
  <si>
    <t xml:space="preserve">1</t>
  </si>
  <si>
    <t xml:space="preserve">IC – USB</t>
  </si>
  <si>
    <t xml:space="preserve">Negotiates 5V from USB-C for charger input</t>
  </si>
  <si>
    <t xml:space="preserve">CH340C</t>
  </si>
  <si>
    <t xml:space="preserve">  ▶  RF PASSIVES — LR1120 SUB-GHz MATCHING NETWORK</t>
  </si>
  <si>
    <t xml:space="preserve">L1</t>
  </si>
  <si>
    <t xml:space="preserve">RF Shunt Inductor</t>
  </si>
  <si>
    <t xml:space="preserve">Murata</t>
  </si>
  <si>
    <t xml:space="preserve">LQW15AN15NG80D</t>
  </si>
  <si>
    <t xml:space="preserve">0402</t>
  </si>
  <si>
    <t xml:space="preserve">15nH, Q&gt;35 @900MHz, SRF&gt;3GHz</t>
  </si>
  <si>
    <t xml:space="preserve">Inductor – RF</t>
  </si>
  <si>
    <t xml:space="preserve">Sub-GHz port matching; datasheet E613V02A ref</t>
  </si>
  <si>
    <t xml:space="preserve">L2</t>
  </si>
  <si>
    <t xml:space="preserve">RF Series Inductor 2.4GHz</t>
  </si>
  <si>
    <t xml:space="preserve">LQW15AN5N6G80D</t>
  </si>
  <si>
    <t xml:space="preserve">5.6nH, Q&gt;40 @2.4GHz</t>
  </si>
  <si>
    <t xml:space="preserve">2.4GHz/HF port matching network</t>
  </si>
  <si>
    <t xml:space="preserve">L3</t>
  </si>
  <si>
    <t xml:space="preserve">Power Supply Inductor (Buck)</t>
  </si>
  <si>
    <t xml:space="preserve">TDK</t>
  </si>
  <si>
    <t xml:space="preserve">SPM4015T-4R7M080A2</t>
  </si>
  <si>
    <t xml:space="preserve">4.0×4.0mm</t>
  </si>
  <si>
    <t xml:space="preserve">4.7µH, 800mA, DCR 0.22Ω</t>
  </si>
  <si>
    <t xml:space="preserve">Inductor – Power</t>
  </si>
  <si>
    <t xml:space="preserve">TPS62740 switch node inductor</t>
  </si>
  <si>
    <t xml:space="preserve">DFE201612E-4R7M</t>
  </si>
  <si>
    <t xml:space="preserve">L4</t>
  </si>
  <si>
    <t xml:space="preserve">GNSS Ant. Matching</t>
  </si>
  <si>
    <t xml:space="preserve">LQW15AN3N9G80D</t>
  </si>
  <si>
    <t xml:space="preserve">3.9nH RF choke for GNSS patch</t>
  </si>
  <si>
    <t xml:space="preserve">Series element in L89H GNSS RF input</t>
  </si>
  <si>
    <t xml:space="preserve">—</t>
  </si>
  <si>
    <t xml:space="preserve">FB1</t>
  </si>
  <si>
    <t xml:space="preserve">Ferrite Bead VDD_MCU</t>
  </si>
  <si>
    <t xml:space="preserve">MMZ1608R301AT000</t>
  </si>
  <si>
    <t xml:space="preserve">0603</t>
  </si>
  <si>
    <t xml:space="preserve">300Ω @100MHz, 2A rated</t>
  </si>
  <si>
    <t xml:space="preserve">Ferrite Bead</t>
  </si>
  <si>
    <t xml:space="preserve">Isolates MCU digital VDD from analog rail</t>
  </si>
  <si>
    <t xml:space="preserve">BLM18AG601SN1D</t>
  </si>
  <si>
    <t xml:space="preserve">FB2</t>
  </si>
  <si>
    <t xml:space="preserve">Ferrite Bead VDD_GNSS</t>
  </si>
  <si>
    <t xml:space="preserve">MMZ1608R601AT000</t>
  </si>
  <si>
    <t xml:space="preserve">600Ω @100MHz, 1.5A</t>
  </si>
  <si>
    <t xml:space="preserve">RF supply isolation for L89H module</t>
  </si>
  <si>
    <t xml:space="preserve">FB3</t>
  </si>
  <si>
    <t xml:space="preserve">Ferrite Bead VDD_RF LR1120</t>
  </si>
  <si>
    <t xml:space="preserve">LR1120 Vdd_rf supply filter; per datasheet Figure 22</t>
  </si>
  <si>
    <t xml:space="preserve">BLM18PG601SN1</t>
  </si>
  <si>
    <t xml:space="preserve">FB4</t>
  </si>
  <si>
    <t xml:space="preserve">Ferrite Bead VDD_BLE</t>
  </si>
  <si>
    <t xml:space="preserve">300Ω @100MHz</t>
  </si>
  <si>
    <t xml:space="preserve">STM32WB BLE RF supply isolation</t>
  </si>
  <si>
    <t xml:space="preserve">FB5</t>
  </si>
  <si>
    <t xml:space="preserve">Ferrite Bead USB/Charge In</t>
  </si>
  <si>
    <t xml:space="preserve">BLM18PG600SN1D</t>
  </si>
  <si>
    <t xml:space="preserve">600Ω @100MHz, 2A</t>
  </si>
  <si>
    <t xml:space="preserve">USB VBUS entry filtering</t>
  </si>
  <si>
    <t xml:space="preserve">FB6</t>
  </si>
  <si>
    <t xml:space="preserve">Ferrite Bead GND Plane Split</t>
  </si>
  <si>
    <t xml:space="preserve">MMZ1608S601AT000</t>
  </si>
  <si>
    <t xml:space="preserve">600Ω @100MHz, 1A, low DCR</t>
  </si>
  <si>
    <t xml:space="preserve">Analog/Digital GND bridge; GNSS section</t>
  </si>
  <si>
    <t xml:space="preserve">  ▶  CAPACITORS — DECOUPLING &amp; BULK</t>
  </si>
  <si>
    <t xml:space="preserve">C1-C10</t>
  </si>
  <si>
    <t xml:space="preserve">100nF MLCC (STM32WB Decoupling)</t>
  </si>
  <si>
    <t xml:space="preserve">GRM155R71C104KA88D</t>
  </si>
  <si>
    <t xml:space="preserve">100nF, 16V, X7R, ±10%</t>
  </si>
  <si>
    <t xml:space="preserve">Capacitor – MLCC</t>
  </si>
  <si>
    <t xml:space="preserve">1× per VDD/VDDSMPS/VDDRF/VDDBAT pin; STM32WB55 AN4991</t>
  </si>
  <si>
    <t xml:space="preserve">CL05B104KO5NNNC</t>
  </si>
  <si>
    <t xml:space="preserve">C11-C14</t>
  </si>
  <si>
    <t xml:space="preserve">10µF MLCC (STM32WB Bulk)</t>
  </si>
  <si>
    <t xml:space="preserve">GRM188R61A106KE69D</t>
  </si>
  <si>
    <t xml:space="preserve">10µF, 10V, X5R, ±10%</t>
  </si>
  <si>
    <t xml:space="preserve">Bulk decoupling per VDD group</t>
  </si>
  <si>
    <t xml:space="preserve">CL10A106KP8NNNC</t>
  </si>
  <si>
    <t xml:space="preserve">C15-C22</t>
  </si>
  <si>
    <t xml:space="preserve">100nF MLCC (LR1120 Decoupling)</t>
  </si>
  <si>
    <t xml:space="preserve">Samsung</t>
  </si>
  <si>
    <t xml:space="preserve">100nF, 16V, X7R</t>
  </si>
  <si>
    <t xml:space="preserve">Per Semtech LR1120 datasheet §7 layout guide</t>
  </si>
  <si>
    <t xml:space="preserve">C23-C24</t>
  </si>
  <si>
    <t xml:space="preserve">10µF MLCC (LR1120 Bulk)</t>
  </si>
  <si>
    <t xml:space="preserve">10µF, 10V, X5R</t>
  </si>
  <si>
    <t xml:space="preserve">LR1120 VBAT bulk caps</t>
  </si>
  <si>
    <t xml:space="preserve">C25-C30</t>
  </si>
  <si>
    <t xml:space="preserve">100nF MLCC (GNSS L89H Decoupling)</t>
  </si>
  <si>
    <t xml:space="preserve">L89H VCC, VBCK, VANT decoupling</t>
  </si>
  <si>
    <t xml:space="preserve">C31-C32</t>
  </si>
  <si>
    <t xml:space="preserve">10µF MLCC (GNSS Bulk)</t>
  </si>
  <si>
    <t xml:space="preserve">L89H module bulk supply caps</t>
  </si>
  <si>
    <t xml:space="preserve">C33</t>
  </si>
  <si>
    <t xml:space="preserve">100µF Electrolytic (GNSS Bulk)</t>
  </si>
  <si>
    <t xml:space="preserve">Panasonic</t>
  </si>
  <si>
    <t xml:space="preserve">EEE-FK1A101GP</t>
  </si>
  <si>
    <t xml:space="preserve">SMD φ6.3mm</t>
  </si>
  <si>
    <t xml:space="preserve">100µF, 10V, 105°C</t>
  </si>
  <si>
    <t xml:space="preserve">Capacitor – Electrolytic</t>
  </si>
  <si>
    <t xml:space="preserve">Hold-up cap for L89H cold start; 10V rated</t>
  </si>
  <si>
    <t xml:space="preserve">EEE-FK1A101P</t>
  </si>
  <si>
    <t xml:space="preserve">C34-C37</t>
  </si>
  <si>
    <t xml:space="preserve">100nF MLCC (IMU Decoupling)</t>
  </si>
  <si>
    <t xml:space="preserve">ISM330DLC VDD and VDDIO pins</t>
  </si>
  <si>
    <t xml:space="preserve">C38-C41</t>
  </si>
  <si>
    <t xml:space="preserve">100pF MLCC (RF Bypass)</t>
  </si>
  <si>
    <t xml:space="preserve">GRM1555C1H101JA01D</t>
  </si>
  <si>
    <t xml:space="preserve">100pF, 50V, C0G/NP0, ±5%</t>
  </si>
  <si>
    <t xml:space="preserve">Capacitor – RF</t>
  </si>
  <si>
    <t xml:space="preserve">RF bypass at PA/LNA supply pins; low-ESR NP0</t>
  </si>
  <si>
    <t xml:space="preserve">GJM1555C1H101JB01D</t>
  </si>
  <si>
    <t xml:space="preserve">C42-C45</t>
  </si>
  <si>
    <t xml:space="preserve">10pF MLCC (RF Matching)</t>
  </si>
  <si>
    <t xml:space="preserve">GRM1555C1H100JA01D</t>
  </si>
  <si>
    <t xml:space="preserve">10pF, 50V, C0G/NP0, ±5%</t>
  </si>
  <si>
    <t xml:space="preserve">LR1120 sub-GHz port matching network shunt caps</t>
  </si>
  <si>
    <t xml:space="preserve">C46-C47</t>
  </si>
  <si>
    <t xml:space="preserve">12pF Crystal Load (MCU HSE)</t>
  </si>
  <si>
    <t xml:space="preserve">GRM1555C1H120JA01D</t>
  </si>
  <si>
    <t xml:space="preserve">12pF, 50V, C0G, ±5%</t>
  </si>
  <si>
    <t xml:space="preserve">Capacitor – Crystal</t>
  </si>
  <si>
    <t xml:space="preserve">32MHz HSE crystal load caps for STM32WB55</t>
  </si>
  <si>
    <t xml:space="preserve">C48-C49</t>
  </si>
  <si>
    <t xml:space="preserve">12pF Crystal Load (RTC)</t>
  </si>
  <si>
    <t xml:space="preserve">32.768kHz LSE crystal load caps</t>
  </si>
  <si>
    <t xml:space="preserve">C50-C51</t>
  </si>
  <si>
    <t xml:space="preserve">22pF Crystal Load (LR1120 TCXO)</t>
  </si>
  <si>
    <t xml:space="preserve">GRM1555C1H220JA01D</t>
  </si>
  <si>
    <t xml:space="preserve">22pF, 50V, C0G, ±5%</t>
  </si>
  <si>
    <t xml:space="preserve">TCXO bypass; check TCXO datasheet</t>
  </si>
  <si>
    <t xml:space="preserve">C52-C53</t>
  </si>
  <si>
    <t xml:space="preserve">47µF Electrolytic (System Bulk)</t>
  </si>
  <si>
    <t xml:space="preserve">EEE-FK1A470GP</t>
  </si>
  <si>
    <t xml:space="preserve">SMD φ8mm</t>
  </si>
  <si>
    <t xml:space="preserve">47µF, 10V, 105°C, ESR 0.15Ω</t>
  </si>
  <si>
    <t xml:space="preserve">Main 3.3V bus bulk decoupling</t>
  </si>
  <si>
    <t xml:space="preserve">EEE-FK1C470P</t>
  </si>
  <si>
    <t xml:space="preserve">C54</t>
  </si>
  <si>
    <t xml:space="preserve">1µF MLCC (LDO Output)</t>
  </si>
  <si>
    <t xml:space="preserve">GRM188R61A105KA61D</t>
  </si>
  <si>
    <t xml:space="preserve">1µF, 10V, X5R</t>
  </si>
  <si>
    <t xml:space="preserve">LDO input/output stability caps (×4 for U8)</t>
  </si>
  <si>
    <t xml:space="preserve">CL10A105KB8NNNC</t>
  </si>
  <si>
    <t xml:space="preserve">C55</t>
  </si>
  <si>
    <t xml:space="preserve">4.7µF Buck In/Out</t>
  </si>
  <si>
    <t xml:space="preserve">CL10A475KO8NNNC</t>
  </si>
  <si>
    <t xml:space="preserve">4.7µF, 10V, X5R</t>
  </si>
  <si>
    <t xml:space="preserve">TPS62740 Cin and Cout (×2 each)</t>
  </si>
  <si>
    <t xml:space="preserve">GRM188R61A475KE15D</t>
  </si>
  <si>
    <t xml:space="preserve">C56</t>
  </si>
  <si>
    <t xml:space="preserve">10nF Filter MLCC</t>
  </si>
  <si>
    <t xml:space="preserve">GRM155R71C103KA88D</t>
  </si>
  <si>
    <t xml:space="preserve">10nF, 16V, X7R</t>
  </si>
  <si>
    <t xml:space="preserve">ADC input RC filter caps; analog paths</t>
  </si>
  <si>
    <t xml:space="preserve">CL05B103KO5NNNC</t>
  </si>
  <si>
    <t xml:space="preserve">  ▶  RESISTORS</t>
  </si>
  <si>
    <t xml:space="preserve">R1-R8</t>
  </si>
  <si>
    <t xml:space="preserve">10kΩ Pull-up</t>
  </si>
  <si>
    <t xml:space="preserve">Yageo</t>
  </si>
  <si>
    <t xml:space="preserve">RC0402FR-0710KL</t>
  </si>
  <si>
    <t xml:space="preserve">10kΩ, ±1%, 62.5mW, 0-70°C</t>
  </si>
  <si>
    <t xml:space="preserve">Resistor</t>
  </si>
  <si>
    <t xml:space="preserve">I2C SDA/SCL, RESET#, BOOT0, INT lines pull-ups</t>
  </si>
  <si>
    <t xml:space="preserve">CRCW040210K0FKED</t>
  </si>
  <si>
    <t xml:space="preserve">R9-R12</t>
  </si>
  <si>
    <t xml:space="preserve">100kΩ Pull-down</t>
  </si>
  <si>
    <t xml:space="preserve">RC0402FR-07100KL</t>
  </si>
  <si>
    <t xml:space="preserve">100kΩ, ±1%, 62.5mW</t>
  </si>
  <si>
    <t xml:space="preserve">LR1120 BUSY, L89 unused pin pull-downs</t>
  </si>
  <si>
    <t xml:space="preserve">CRCW0402100KFKED</t>
  </si>
  <si>
    <t xml:space="preserve">R13-R18</t>
  </si>
  <si>
    <t xml:space="preserve">330Ω LED Current Limiting</t>
  </si>
  <si>
    <t xml:space="preserve">RC0402FR-07330RL</t>
  </si>
  <si>
    <t xml:space="preserve">330Ω, ±1%, 62.5mW</t>
  </si>
  <si>
    <t xml:space="preserve">RGB LED (×3) + SOS Red + BLE Blue + GNSS Green at 3.3V; If≈7mA</t>
  </si>
  <si>
    <t xml:space="preserve">CRCW0402330RFKED</t>
  </si>
  <si>
    <t xml:space="preserve">R19-R22</t>
  </si>
  <si>
    <t xml:space="preserve">33Ω SPI/UART Series Term.</t>
  </si>
  <si>
    <t xml:space="preserve">RC0402FR-0733RL</t>
  </si>
  <si>
    <t xml:space="preserve">33Ω, ±1%, 62.5mW</t>
  </si>
  <si>
    <t xml:space="preserve">Signal integrity on LR1120 SPI and L89H UART lines</t>
  </si>
  <si>
    <t xml:space="preserve">CRCW040233R0FKED</t>
  </si>
  <si>
    <t xml:space="preserve">R23-R24</t>
  </si>
  <si>
    <t xml:space="preserve">1kΩ Debounce</t>
  </si>
  <si>
    <t xml:space="preserve">RC0402FR-071KL</t>
  </si>
  <si>
    <t xml:space="preserve">1kΩ, ±1%, 62.5mW</t>
  </si>
  <si>
    <t xml:space="preserve">Push button RC debounce series resistor</t>
  </si>
  <si>
    <t xml:space="preserve">CRCW04021K00FKED</t>
  </si>
  <si>
    <t xml:space="preserve">R25-R26</t>
  </si>
  <si>
    <t xml:space="preserve">10kΩ Boot Config</t>
  </si>
  <si>
    <t xml:space="preserve">10kΩ, ±1%, 62.5mW</t>
  </si>
  <si>
    <t xml:space="preserve">BOOT0/BOOT1 configuration resistors</t>
  </si>
  <si>
    <t xml:space="preserve">R27-R28</t>
  </si>
  <si>
    <t xml:space="preserve">4.7kΩ I2C Pull-up (FG/IMU)</t>
  </si>
  <si>
    <t xml:space="preserve">RC0402FR-074K7L</t>
  </si>
  <si>
    <t xml:space="preserve">4.7kΩ, ±1%, 62.5mW</t>
  </si>
  <si>
    <t xml:space="preserve">BQ27427 + ISM330DLC I2C bus pull-ups</t>
  </si>
  <si>
    <t xml:space="preserve">CRCW04024K70FKED</t>
  </si>
  <si>
    <t xml:space="preserve">R29</t>
  </si>
  <si>
    <t xml:space="preserve">0Ω Jumper (Solder Bridge)</t>
  </si>
  <si>
    <t xml:space="preserve">RC0402FR-070RL</t>
  </si>
  <si>
    <t xml:space="preserve">0Ω, jumper</t>
  </si>
  <si>
    <t xml:space="preserve">Configuration/option jumpers on board</t>
  </si>
  <si>
    <t xml:space="preserve">R30</t>
  </si>
  <si>
    <t xml:space="preserve">100Ω RF Termination</t>
  </si>
  <si>
    <t xml:space="preserve">RC0402FR-07100RL</t>
  </si>
  <si>
    <t xml:space="preserve">100Ω, ±1%, 62.5mW</t>
  </si>
  <si>
    <t xml:space="preserve">Unused RF port termination on U6 SKY13585</t>
  </si>
  <si>
    <t xml:space="preserve">CRCW0402100RFKED</t>
  </si>
  <si>
    <t xml:space="preserve">R31</t>
  </si>
  <si>
    <t xml:space="preserve">10kΩ NTC Thermistor</t>
  </si>
  <si>
    <t xml:space="preserve">NCP15XH103F03RC</t>
  </si>
  <si>
    <t xml:space="preserve">10kΩ @25°C, NTC B=3380K</t>
  </si>
  <si>
    <t xml:space="preserve">Resistor – NTC</t>
  </si>
  <si>
    <t xml:space="preserve">Battery temperature sense input to BQ24040</t>
  </si>
  <si>
    <t xml:space="preserve">SDNT0402X103J3450FTF</t>
  </si>
  <si>
    <t xml:space="preserve">R32</t>
  </si>
  <si>
    <t xml:space="preserve">1MΩ Battery Voltage Div Hi</t>
  </si>
  <si>
    <t xml:space="preserve">RC0402FR-071ML</t>
  </si>
  <si>
    <t xml:space="preserve">1MΩ, ±1%, 62.5mW</t>
  </si>
  <si>
    <t xml:space="preserve">Vbatt divider upper leg for MCU ADC monitoring</t>
  </si>
  <si>
    <t xml:space="preserve">CRCW04021M00FKED</t>
  </si>
  <si>
    <t xml:space="preserve">R33</t>
  </si>
  <si>
    <t xml:space="preserve">470kΩ Battery Voltage Div Lo</t>
  </si>
  <si>
    <t xml:space="preserve">RC0402FR-07470KL</t>
  </si>
  <si>
    <t xml:space="preserve">470kΩ, ±1%, 62.5mW</t>
  </si>
  <si>
    <t xml:space="preserve">Vbatt divider lower leg → MCU ADC (max 3.3V input)</t>
  </si>
  <si>
    <t xml:space="preserve">CRCW0402470KFKED</t>
  </si>
  <si>
    <t xml:space="preserve">  ▶  CRYSTALS &amp; OSCILLATORS</t>
  </si>
  <si>
    <t xml:space="preserve">X1</t>
  </si>
  <si>
    <t xml:space="preserve">32MHz HSE Crystal (MCU)</t>
  </si>
  <si>
    <t xml:space="preserve">NDK</t>
  </si>
  <si>
    <t xml:space="preserve">NX2016SA-32M-EXS00A-CS03350</t>
  </si>
  <si>
    <t xml:space="preserve">2016 SMD</t>
  </si>
  <si>
    <t xml:space="preserve">32MHz, ±10ppm, 8pF load, ESR&lt;50Ω</t>
  </si>
  <si>
    <t xml:space="preserve">Crystal</t>
  </si>
  <si>
    <t xml:space="preserve">STM32WB55 HSE; required for BLE RF accuracy</t>
  </si>
  <si>
    <t xml:space="preserve">ABM8-32.000MHZ-B2-T</t>
  </si>
  <si>
    <t xml:space="preserve">X2</t>
  </si>
  <si>
    <t xml:space="preserve">32.768kHz LSE Crystal (RTC)</t>
  </si>
  <si>
    <t xml:space="preserve">Epson</t>
  </si>
  <si>
    <t xml:space="preserve">FC-135 32.768KHZ-AG6</t>
  </si>
  <si>
    <t xml:space="preserve">1610 SMD</t>
  </si>
  <si>
    <t xml:space="preserve">32.768kHz, ±20ppm, 7pF load</t>
  </si>
  <si>
    <t xml:space="preserve">STM32WB55 low-speed external for RTC</t>
  </si>
  <si>
    <t xml:space="preserve">NX1610SA-32.768K</t>
  </si>
  <si>
    <t xml:space="preserve">X3</t>
  </si>
  <si>
    <t xml:space="preserve">32MHz TCXO (LR1120)</t>
  </si>
  <si>
    <t xml:space="preserve">TXC Corporation</t>
  </si>
  <si>
    <t xml:space="preserve">7Q-32.000MBB-T</t>
  </si>
  <si>
    <t xml:space="preserve">2.0×1.6mm SMD</t>
  </si>
  <si>
    <t xml:space="preserve">32MHz TCXO, ±0.5ppm, 3.3V, CMOS out</t>
  </si>
  <si>
    <t xml:space="preserve">Oscillator – TCXO</t>
  </si>
  <si>
    <t xml:space="preserve">LR1120 requires TCXO for LR-FHSS frequency accuracy</t>
  </si>
  <si>
    <t xml:space="preserve">ASTX-H12-32.000MHz</t>
  </si>
  <si>
    <t xml:space="preserve">  ▶  CONNECTORS &amp; INTERFACES</t>
  </si>
  <si>
    <t xml:space="preserve">J1</t>
  </si>
  <si>
    <t xml:space="preserve">USB-C Receptacle</t>
  </si>
  <si>
    <t xml:space="preserve">Korean Hroparts</t>
  </si>
  <si>
    <t xml:space="preserve">TYPE-C-31-M-12</t>
  </si>
  <si>
    <t xml:space="preserve">SMD Vertical</t>
  </si>
  <si>
    <t xml:space="preserve">USB 2.0 Type-C, 2A rated, SMT</t>
  </si>
  <si>
    <t xml:space="preserve">Connector</t>
  </si>
  <si>
    <t xml:space="preserve">Power input (5V from charger) + optional data</t>
  </si>
  <si>
    <t xml:space="preserve">USB4135-GF-A</t>
  </si>
  <si>
    <t xml:space="preserve">J2</t>
  </si>
  <si>
    <t xml:space="preserve">Battery Connector JST</t>
  </si>
  <si>
    <t xml:space="preserve">JST</t>
  </si>
  <si>
    <t xml:space="preserve">S2B-PH-K-S(LF)(SN)</t>
  </si>
  <si>
    <t xml:space="preserve">2-pin PH 2.0mm</t>
  </si>
  <si>
    <t xml:space="preserve">2-pin, 2.0mm pitch, right angle SMT</t>
  </si>
  <si>
    <t xml:space="preserve">Li-Po battery positive + negative</t>
  </si>
  <si>
    <t xml:space="preserve">2510WV-02</t>
  </si>
  <si>
    <t xml:space="preserve">J3</t>
  </si>
  <si>
    <t xml:space="preserve">SWD Debug Header</t>
  </si>
  <si>
    <t xml:space="preserve">Samtec</t>
  </si>
  <si>
    <t xml:space="preserve">FTSH-105-01-F-DV</t>
  </si>
  <si>
    <t xml:space="preserve">10-pin 1.27mm SMT</t>
  </si>
  <si>
    <t xml:space="preserve">10-pin 1.27mm, SWD+UART+3.3V+GND</t>
  </si>
  <si>
    <t xml:space="preserve">Programming and debug; SWDIO/SWDCLK/SWO/UART_TX/RX</t>
  </si>
  <si>
    <t xml:space="preserve">FTSH-105-01-L-DV</t>
  </si>
  <si>
    <t xml:space="preserve">J4</t>
  </si>
  <si>
    <t xml:space="preserve">u.FL LoRa Antenna</t>
  </si>
  <si>
    <t xml:space="preserve">Hirose</t>
  </si>
  <si>
    <t xml:space="preserve">U.FL-R-SMT-1(10)</t>
  </si>
  <si>
    <t xml:space="preserve">u.FL SMT</t>
  </si>
  <si>
    <t xml:space="preserve">Micro RF coax, 50Ω, 6GHz rated</t>
  </si>
  <si>
    <t xml:space="preserve">Connector – RF</t>
  </si>
  <si>
    <t xml:space="preserve">LR1120 sub-GHz TX/RX antenna port</t>
  </si>
  <si>
    <t xml:space="preserve">MUFL040T10E</t>
  </si>
  <si>
    <t xml:space="preserve">J5</t>
  </si>
  <si>
    <t xml:space="preserve">u.FL GNSS Antenna</t>
  </si>
  <si>
    <t xml:space="preserve">Micro RF coax, 50Ω</t>
  </si>
  <si>
    <t xml:space="preserve">Quectel L89H active GNSS antenna port</t>
  </si>
  <si>
    <t xml:space="preserve">J6</t>
  </si>
  <si>
    <t xml:space="preserve">Grove I2C Expansion</t>
  </si>
  <si>
    <t xml:space="preserve">Seeed</t>
  </si>
  <si>
    <t xml:space="preserve">110990036</t>
  </si>
  <si>
    <t xml:space="preserve">4-pin 2.0mm SMT</t>
  </si>
  <si>
    <t xml:space="preserve">I2C Grove connector for external sensors</t>
  </si>
  <si>
    <t xml:space="preserve">Optional expansion I2C port</t>
  </si>
  <si>
    <t xml:space="preserve">DF13-4P-1.25V</t>
  </si>
  <si>
    <t xml:space="preserve">  ▶  LEDs</t>
  </si>
  <si>
    <t xml:space="preserve">D1</t>
  </si>
  <si>
    <t xml:space="preserve">RGB LED (Status / Battery)</t>
  </si>
  <si>
    <t xml:space="preserve">Würth Elektronik</t>
  </si>
  <si>
    <t xml:space="preserve">150141M173100</t>
  </si>
  <si>
    <t xml:space="preserve">0606 SMD RGB</t>
  </si>
  <si>
    <t xml:space="preserve">Red/Green/Blue, 2.0-3.5V, 20mA, common cathode</t>
  </si>
  <si>
    <t xml:space="preserve">LED – RGB</t>
  </si>
  <si>
    <t xml:space="preserve">Battery level indicator (R=low, G=full, B=charging)</t>
  </si>
  <si>
    <t xml:space="preserve">LTST-C19HE1WT</t>
  </si>
  <si>
    <t xml:space="preserve">D2</t>
  </si>
  <si>
    <t xml:space="preserve">Blue LED (BLE Active)</t>
  </si>
  <si>
    <t xml:space="preserve">Lite-On</t>
  </si>
  <si>
    <t xml:space="preserve">LTST-C191KFKT</t>
  </si>
  <si>
    <t xml:space="preserve">0603 SMD</t>
  </si>
  <si>
    <t xml:space="preserve">Blue 470nm, Vf 3.2V, 20mA, 150mcd @20mA</t>
  </si>
  <si>
    <t xml:space="preserve">LED</t>
  </si>
  <si>
    <t xml:space="preserve">BLE advertising/connection active indicator</t>
  </si>
  <si>
    <t xml:space="preserve">APT1608CGCK</t>
  </si>
  <si>
    <t xml:space="preserve">D3</t>
  </si>
  <si>
    <t xml:space="preserve">Green LED (GNSS Fix)</t>
  </si>
  <si>
    <t xml:space="preserve">LTST-C191KGKT</t>
  </si>
  <si>
    <t xml:space="preserve">Green 525nm, Vf 2.1V, 20mA, 100mcd</t>
  </si>
  <si>
    <t xml:space="preserve">Solid=fix acquired, blink=searching</t>
  </si>
  <si>
    <t xml:space="preserve">TLMG1100(T18)</t>
  </si>
  <si>
    <t xml:space="preserve">D4</t>
  </si>
  <si>
    <t xml:space="preserve">Red LED (SOS / Alert)</t>
  </si>
  <si>
    <t xml:space="preserve">LTST-C191KRKT</t>
  </si>
  <si>
    <t xml:space="preserve">Red 625nm, Vf 2.0V, 20mA, 130mcd</t>
  </si>
  <si>
    <t xml:space="preserve">Emergency SOS alert; driven by MCU GPIO</t>
  </si>
  <si>
    <t xml:space="preserve">APT1608SURCK</t>
  </si>
  <si>
    <t xml:space="preserve">D5</t>
  </si>
  <si>
    <t xml:space="preserve">Green LED (RF TX)</t>
  </si>
  <si>
    <t xml:space="preserve">Green 525nm, Vf 2.1V, 20mA</t>
  </si>
  <si>
    <t xml:space="preserve">LoRa TX indicator; blinks on each uplink</t>
  </si>
  <si>
    <t xml:space="preserve">D6</t>
  </si>
  <si>
    <t xml:space="preserve">Schottky Diode (Reverse Protect)</t>
  </si>
  <si>
    <t xml:space="preserve">Vishay</t>
  </si>
  <si>
    <t xml:space="preserve">BAT54S-E3-08</t>
  </si>
  <si>
    <t xml:space="preserve">SOT-23</t>
  </si>
  <si>
    <t xml:space="preserve">30V, 200mA Schottky, Vf 0.3V @1mA</t>
  </si>
  <si>
    <t xml:space="preserve">Diode</t>
  </si>
  <si>
    <t xml:space="preserve">Battery reverse polarity protection + USB OR-ing</t>
  </si>
  <si>
    <t xml:space="preserve">BAT54WSFILM</t>
  </si>
  <si>
    <t xml:space="preserve">  ▶  SWITCHES</t>
  </si>
  <si>
    <t xml:space="preserve">SW1</t>
  </si>
  <si>
    <t xml:space="preserve">IP67 Tactile Push Button</t>
  </si>
  <si>
    <t xml:space="preserve">E-Switch</t>
  </si>
  <si>
    <t xml:space="preserve">PB82G31BBLK03</t>
  </si>
  <si>
    <t xml:space="preserve">8×8mm SMD</t>
  </si>
  <si>
    <t xml:space="preserve">IP67 rated, 50mA, 12VDC, 260gf actuation</t>
  </si>
  <si>
    <t xml:space="preserve">Switch</t>
  </si>
  <si>
    <t xml:space="preserve">User button; boot/reset or application function</t>
  </si>
  <si>
    <t xml:space="preserve">FSM4JSMATR</t>
  </si>
  <si>
    <t xml:space="preserve">SW2</t>
  </si>
  <si>
    <t xml:space="preserve">Slide Switch (Power)</t>
  </si>
  <si>
    <t xml:space="preserve">C&amp;K</t>
  </si>
  <si>
    <t xml:space="preserve">JS102011SAQN</t>
  </si>
  <si>
    <t xml:space="preserve">SMD</t>
  </si>
  <si>
    <t xml:space="preserve">100mA, 12V, SPDT slide switch</t>
  </si>
  <si>
    <t xml:space="preserve">Optional main power switch on battery feed</t>
  </si>
  <si>
    <t xml:space="preserve">EG1218</t>
  </si>
  <si>
    <t xml:space="preserve">  ▶  MISC PASSIVES &amp; PROTECTION</t>
  </si>
  <si>
    <t xml:space="preserve">TVS1</t>
  </si>
  <si>
    <t xml:space="preserve">TVS Array (USB)</t>
  </si>
  <si>
    <t xml:space="preserve">Littelfuse</t>
  </si>
  <si>
    <t xml:space="preserve">SP0503BAHTG</t>
  </si>
  <si>
    <t xml:space="preserve">SOT-363</t>
  </si>
  <si>
    <t xml:space="preserve">5V clamping, 0.5pF, USB ESD protection</t>
  </si>
  <si>
    <t xml:space="preserve">ESD Protection</t>
  </si>
  <si>
    <t xml:space="preserve">USB D+/D− lines ESD suppression</t>
  </si>
  <si>
    <t xml:space="preserve">PRTR5V0U2X</t>
  </si>
  <si>
    <t xml:space="preserve">TVS2</t>
  </si>
  <si>
    <t xml:space="preserve">TVS (LR1120 SPI Lines)</t>
  </si>
  <si>
    <t xml:space="preserve">PRTR5V0U2X215</t>
  </si>
  <si>
    <t xml:space="preserve">5V clamp, 2-channel ESD array</t>
  </si>
  <si>
    <t xml:space="preserve">SPI MOSI/MISO/CLK ESD guard</t>
  </si>
  <si>
    <t xml:space="preserve">SP0502BAHTG</t>
  </si>
  <si>
    <t xml:space="preserve">F1</t>
  </si>
  <si>
    <t xml:space="preserve">Polyfuse 500mA</t>
  </si>
  <si>
    <t xml:space="preserve">Bourns</t>
  </si>
  <si>
    <t xml:space="preserve">MF-MSMF050-2</t>
  </si>
  <si>
    <t xml:space="preserve">1812 SMD</t>
  </si>
  <si>
    <t xml:space="preserve">500mA hold, 1A trip, 6V, self-resetting</t>
  </si>
  <si>
    <t xml:space="preserve">Fuse</t>
  </si>
  <si>
    <t xml:space="preserve">Battery output short-circuit protection</t>
  </si>
  <si>
    <t xml:space="preserve">0ZCF0050AF2C</t>
  </si>
  <si>
    <t xml:space="preserve">TOTAL BOM COST (Single Unit)</t>
  </si>
  <si>
    <t xml:space="preserve">POWER BUDGET &amp; BATTERY LIFE SIMULATION REPORT</t>
  </si>
  <si>
    <t xml:space="preserve">Target Battery: 2500–3500 mAh  |  Li-Po 3.7V  |  Device: IoT Tracker (STM32WB55 + LR1120 + L89H)</t>
  </si>
  <si>
    <t xml:space="preserve">  A  BATTERY &amp; SYSTEM ASSUMPTIONS</t>
  </si>
  <si>
    <t xml:space="preserve">Battery Capacity (mAh)</t>
  </si>
  <si>
    <t xml:space="preserve">mAh</t>
  </si>
  <si>
    <t xml:space="preserve">Battery Voltage (nominal)</t>
  </si>
  <si>
    <t xml:space="preserve">V</t>
  </si>
  <si>
    <t xml:space="preserve">System Voltage (regulated)</t>
  </si>
  <si>
    <t xml:space="preserve">Regulator Efficiency</t>
  </si>
  <si>
    <t xml:space="preserve">%</t>
  </si>
  <si>
    <t xml:space="preserve">Battery Usable Capacity Factor</t>
  </si>
  <si>
    <t xml:space="preserve">factor (80% DoD + aging)</t>
  </si>
  <si>
    <t xml:space="preserve">DC-DC Converter Efficiency</t>
  </si>
  <si>
    <t xml:space="preserve">Buck TPS62740 @ light load</t>
  </si>
  <si>
    <t xml:space="preserve">Self-Discharge Rate</t>
  </si>
  <si>
    <t xml:space="preserve">% per month</t>
  </si>
  <si>
    <t xml:space="preserve">Safety Margin (derate)</t>
  </si>
  <si>
    <t xml:space="preserve">Applied to total capacity</t>
  </si>
  <si>
    <t xml:space="preserve">Effective Usable Capacity (mAh)</t>
  </si>
  <si>
    <t xml:space="preserve">mAh (after efficiency derates)</t>
  </si>
  <si>
    <t xml:space="preserve">  B  COMPONENT CURRENT CONSUMPTION BY OPERATING MODE (µA)</t>
  </si>
  <si>
    <t xml:space="preserve">Component</t>
  </si>
  <si>
    <t xml:space="preserve">Deep Sleep
(µA)</t>
  </si>
  <si>
    <t xml:space="preserve">Idle/Standby
(µA)</t>
  </si>
  <si>
    <t xml:space="preserve">LoRaWAN TX
22dBm (mA)</t>
  </si>
  <si>
    <t xml:space="preserve">LoRaWAN TX
27dBm+PA (mA)</t>
  </si>
  <si>
    <t xml:space="preserve">LoRaWAN RX
(mA)</t>
  </si>
  <si>
    <t xml:space="preserve">GNSS Active
(mA)</t>
  </si>
  <si>
    <t xml:space="preserve">BLE Adv.
(mA)</t>
  </si>
  <si>
    <t xml:space="preserve">BLE Connected
(mA)</t>
  </si>
  <si>
    <t xml:space="preserve">IMU Active
(µA)</t>
  </si>
  <si>
    <t xml:space="preserve">Notes</t>
  </si>
  <si>
    <t xml:space="preserve">STM32WB55CG</t>
  </si>
  <si>
    <t xml:space="preserve">Stop2=2.5µA; Run@64MHz≈15mA</t>
  </si>
  <si>
    <t xml:space="preserve">Semtech LR1120</t>
  </si>
  <si>
    <t xml:space="preserve">TX@22dBm; sleep&lt;1µA</t>
  </si>
  <si>
    <t xml:space="preserve">SE2435L PA FEM</t>
  </si>
  <si>
    <t xml:space="preserve">Add 200mA @27dBm PA mode; bypass at 22dBm</t>
  </si>
  <si>
    <t xml:space="preserve">Quectel L89H</t>
  </si>
  <si>
    <t xml:space="preserve">Acquisition=25mA; Tracking=18mA</t>
  </si>
  <si>
    <t xml:space="preserve">ISM330DLC</t>
  </si>
  <si>
    <t xml:space="preserve">Normal=0.55mA; Power-down=3µA</t>
  </si>
  <si>
    <t xml:space="preserve">BQ27427 FG</t>
  </si>
  <si>
    <t xml:space="preserve">Continuous I2C polling; sleep=1.5µA</t>
  </si>
  <si>
    <t xml:space="preserve">BQ24040 Charger</t>
  </si>
  <si>
    <t xml:space="preserve">Active only when USB-C connected; not in battery mode</t>
  </si>
  <si>
    <t xml:space="preserve">TPS62740 Buck</t>
  </si>
  <si>
    <t xml:space="preserve">Iq=360nA sleep; ~88% eff</t>
  </si>
  <si>
    <t xml:space="preserve">LP5907 LDO</t>
  </si>
  <si>
    <t xml:space="preserve">Ultra-low noise; Iq=70µA when on</t>
  </si>
  <si>
    <t xml:space="preserve">LEDs (active)</t>
  </si>
  <si>
    <t xml:space="preserve">330Ω @ 3.3V ≈ 7mA per LED; duty-cycled</t>
  </si>
  <si>
    <t xml:space="preserve">SKY13585 RF-SW</t>
  </si>
  <si>
    <t xml:space="preserve">CMOS logic levels; very low Icc</t>
  </si>
  <si>
    <t xml:space="preserve">Miscellaneous</t>
  </si>
  <si>
    <t xml:space="preserve">PCB leakage, pull-ups, oscillators</t>
  </si>
  <si>
    <t xml:space="preserve">  TOTAL CURRENT PER MODE</t>
  </si>
  <si>
    <t xml:space="preserve">TOTAL SYSTEM CURRENT</t>
  </si>
  <si>
    <t xml:space="preserve">See units in header row</t>
  </si>
  <si>
    <t xml:space="preserve">  C  DUTY CYCLE ANALYSIS &amp; AVERAGE CURRENT CALCULATION</t>
  </si>
  <si>
    <t xml:space="preserve">Operating Mode</t>
  </si>
  <si>
    <t xml:space="preserve">Duty Cycle (%)</t>
  </si>
  <si>
    <t xml:space="preserve">Mode Current (mA)</t>
  </si>
  <si>
    <t xml:space="preserve">Unit Conv.</t>
  </si>
  <si>
    <t xml:space="preserve">Weighted Avg (mA)</t>
  </si>
  <si>
    <t xml:space="preserve">Deep Sleep</t>
  </si>
  <si>
    <t xml:space="preserve">µA→mA (/1000)</t>
  </si>
  <si>
    <t xml:space="preserve">MCU Stop2 + LR1120 sleep; L89H backup mode</t>
  </si>
  <si>
    <t xml:space="preserve">Idle / Standby (BLE adv.)</t>
  </si>
  <si>
    <t xml:space="preserve">BLE advertising 1s interval; sensors on</t>
  </si>
  <si>
    <t xml:space="preserve">LoRaWAN TX (22dBm)</t>
  </si>
  <si>
    <t xml:space="preserve">mA direct</t>
  </si>
  <si>
    <t xml:space="preserve">~2s TX per 10min cycle; Class A</t>
  </si>
  <si>
    <t xml:space="preserve">LoRaWAN TX (27dBm PA)</t>
  </si>
  <si>
    <t xml:space="preserve">PA-boosted TX for long range</t>
  </si>
  <si>
    <t xml:space="preserve">LoRaWAN RX (Window 1+2)</t>
  </si>
  <si>
    <t xml:space="preserve">RX1+RX2 windows after each TX</t>
  </si>
  <si>
    <t xml:space="preserve">GNSS Fix Acquisition</t>
  </si>
  <si>
    <t xml:space="preserve">L89H cold/hot start; 45s avg</t>
  </si>
  <si>
    <t xml:space="preserve">BLE Connected (data)</t>
  </si>
  <si>
    <t xml:space="preserve">Config / OTA update periods</t>
  </si>
  <si>
    <t xml:space="preserve">IMU Sampling</t>
  </si>
  <si>
    <t xml:space="preserve">ISM330DLC 104Hz accel+gyro</t>
  </si>
  <si>
    <t xml:space="preserve">CHECK: Sum of Duty Cycles</t>
  </si>
  <si>
    <t xml:space="preserve">Average Current (mA)</t>
  </si>
  <si>
    <t xml:space="preserve">mA — weighted average across all modes</t>
  </si>
  <si>
    <t xml:space="preserve">  D  BATTERY LIFE PROJECTION (2500 – 3500 mAh RANGE)</t>
  </si>
  <si>
    <t xml:space="preserve">Battery Capacity</t>
  </si>
  <si>
    <t xml:space="preserve">Usable Capacity (mAh)</t>
  </si>
  <si>
    <t xml:space="preserve">Avg Current (mA)</t>
  </si>
  <si>
    <t xml:space="preserve">Runtime (Hours)</t>
  </si>
  <si>
    <t xml:space="preserve">Runtime (Days)</t>
  </si>
  <si>
    <t xml:space="preserve">Runtime (Weeks)</t>
  </si>
  <si>
    <t xml:space="preserve">Status</t>
  </si>
  <si>
    <t xml:space="preserve">Recommendation</t>
  </si>
  <si>
    <t xml:space="preserve">2500 mAh</t>
  </si>
  <si>
    <t xml:space="preserve">2800 mAh</t>
  </si>
  <si>
    <t xml:space="preserve">3000 mAh</t>
  </si>
  <si>
    <t xml:space="preserve">3200 mAh</t>
  </si>
  <si>
    <t xml:space="preserve">3500 mAh</t>
  </si>
  <si>
    <t xml:space="preserve">  E  DAILY ENERGY BREAKDOWN (µAh/day @ 24h cycle)</t>
  </si>
  <si>
    <t xml:space="preserve">Mode</t>
  </si>
  <si>
    <t xml:space="preserve">Duty Cycle</t>
  </si>
  <si>
    <t xml:space="preserve">Daily Time (h)</t>
  </si>
  <si>
    <t xml:space="preserve">Energy (mAh/day)</t>
  </si>
  <si>
    <t xml:space="preserve">% of Total</t>
  </si>
  <si>
    <t xml:space="preserve">C34</t>
  </si>
  <si>
    <t xml:space="preserve">B34</t>
  </si>
  <si>
    <t xml:space="preserve">C35</t>
  </si>
  <si>
    <t xml:space="preserve">B35</t>
  </si>
  <si>
    <t xml:space="preserve">C36</t>
  </si>
  <si>
    <t xml:space="preserve">B36</t>
  </si>
  <si>
    <t xml:space="preserve">C37</t>
  </si>
  <si>
    <t xml:space="preserve">B37</t>
  </si>
  <si>
    <t xml:space="preserve">C38</t>
  </si>
  <si>
    <t xml:space="preserve">B38</t>
  </si>
  <si>
    <t xml:space="preserve">C39</t>
  </si>
  <si>
    <t xml:space="preserve">B39</t>
  </si>
  <si>
    <t xml:space="preserve">C40</t>
  </si>
  <si>
    <t xml:space="preserve">B40</t>
  </si>
  <si>
    <t xml:space="preserve">C41</t>
  </si>
  <si>
    <t xml:space="preserve">B41</t>
  </si>
  <si>
    <t xml:space="preserve">MECHANICAL DESIGN &amp; WEIGHT ANALYSIS REPORT</t>
  </si>
  <si>
    <t xml:space="preserve">Target Envelope: 70 × 90 × 12 mm  |  Target Weight: &lt; 140 g  |  IP Rating: IP67</t>
  </si>
  <si>
    <t xml:space="preserve">  A  MECHANICAL CONSTRAINTS &amp; ENCLOSURE DIMENSIONS</t>
  </si>
  <si>
    <t xml:space="preserve">External Length (X)</t>
  </si>
  <si>
    <t xml:space="preserve">mm</t>
  </si>
  <si>
    <t xml:space="preserve">Target envelope</t>
  </si>
  <si>
    <t xml:space="preserve">External Width (Y)</t>
  </si>
  <si>
    <t xml:space="preserve">External Height (Z)</t>
  </si>
  <si>
    <t xml:space="preserve">Total assembled height</t>
  </si>
  <si>
    <t xml:space="preserve">Enclosure Wall Thickness</t>
  </si>
  <si>
    <t xml:space="preserve">ABS injection mould; IP67 seal req</t>
  </si>
  <si>
    <t xml:space="preserve">PCB Length</t>
  </si>
  <si>
    <t xml:space="preserve">Fits inside X with 1.5mm wall each side</t>
  </si>
  <si>
    <t xml:space="preserve">PCB Width</t>
  </si>
  <si>
    <t xml:space="preserve">Fits inside Y with 1.5mm wall each side</t>
  </si>
  <si>
    <t xml:space="preserve">PCB Thickness</t>
  </si>
  <si>
    <t xml:space="preserve">Standard FR4 4-layer stack</t>
  </si>
  <si>
    <t xml:space="preserve">Component Max Height (top)</t>
  </si>
  <si>
    <t xml:space="preserve">Tallest SMD component (L89H module)</t>
  </si>
  <si>
    <t xml:space="preserve">Component Max Height (bottom)</t>
  </si>
  <si>
    <t xml:space="preserve">Bottom-side SMD clearance</t>
  </si>
  <si>
    <t xml:space="preserve">Battery Height (LiPo)</t>
  </si>
  <si>
    <t xml:space="preserve">3000mAh: 60×40×4.8mm approx</t>
  </si>
  <si>
    <t xml:space="preserve">Battery Length</t>
  </si>
  <si>
    <t xml:space="preserve">Inside enclosure</t>
  </si>
  <si>
    <t xml:space="preserve">Battery Width</t>
  </si>
  <si>
    <t xml:space="preserve">PCB-to-Battery Gap</t>
  </si>
  <si>
    <t xml:space="preserve">Foam pad / thermal pad</t>
  </si>
  <si>
    <t xml:space="preserve">Internal usable height</t>
  </si>
  <si>
    <t xml:space="preserve">After walls; check stacking</t>
  </si>
  <si>
    <t xml:space="preserve">Stack check: PCB+comp+batt</t>
  </si>
  <si>
    <t xml:space="preserve">Must be ≤ internal height</t>
  </si>
  <si>
    <t xml:space="preserve">IP67 Seal Groove Depth</t>
  </si>
  <si>
    <t xml:space="preserve">O-ring groove; affects wall design</t>
  </si>
  <si>
    <t xml:space="preserve">Gasket Compressed Thickness</t>
  </si>
  <si>
    <t xml:space="preserve">Silicone O-ring compressed</t>
  </si>
  <si>
    <t xml:space="preserve">Mounting Hole Diameter</t>
  </si>
  <si>
    <t xml:space="preserve">M3 screws for assembly</t>
  </si>
  <si>
    <t xml:space="preserve">Corner Radius (external)</t>
  </si>
  <si>
    <t xml:space="preserve">Ergonomic rounding</t>
  </si>
  <si>
    <t xml:space="preserve">  B  COMPONENT WEIGHT BREAKDOWN</t>
  </si>
  <si>
    <t xml:space="preserve">Component / Assembly</t>
  </si>
  <si>
    <t xml:space="preserve">Unit Weight (g)</t>
  </si>
  <si>
    <t xml:space="preserve">Subtotal (g)</t>
  </si>
  <si>
    <t xml:space="preserve">Material</t>
  </si>
  <si>
    <t xml:space="preserve">Dimensions</t>
  </si>
  <si>
    <t xml:space="preserve">Density (g/cm³)</t>
  </si>
  <si>
    <t xml:space="preserve">Vol (cm³)</t>
  </si>
  <si>
    <t xml:space="preserve">PCB Substrate (FR4 4L)</t>
  </si>
  <si>
    <t xml:space="preserve">FR4 Laminate</t>
  </si>
  <si>
    <t xml:space="preserve">87×67×1.6mm</t>
  </si>
  <si>
    <t xml:space="preserve">4-layer; copper adds ~10%</t>
  </si>
  <si>
    <t xml:space="preserve">Copper Layers (4×35µm)</t>
  </si>
  <si>
    <t xml:space="preserve">Copper</t>
  </si>
  <si>
    <t xml:space="preserve">4× 35µm Cu foil</t>
  </si>
  <si>
    <t xml:space="preserve">Estimated all 4 layers combined</t>
  </si>
  <si>
    <t xml:space="preserve">STM32WB55CGU6</t>
  </si>
  <si>
    <t xml:space="preserve">Silicon/Epoxy QFN</t>
  </si>
  <si>
    <t xml:space="preserve">7×7×0.85mm QFN-48</t>
  </si>
  <si>
    <t xml:space="preserve">Main SoC</t>
  </si>
  <si>
    <t xml:space="preserve">5×5×0.85mm QFN-32</t>
  </si>
  <si>
    <t xml:space="preserve">LoRa Edge transceiver</t>
  </si>
  <si>
    <t xml:space="preserve">Quectel L89H GNSS</t>
  </si>
  <si>
    <t xml:space="preserve">Module w/shield</t>
  </si>
  <si>
    <t xml:space="preserve">17×15×2.4mm LCC</t>
  </si>
  <si>
    <t xml:space="preserve">Includes metal shield</t>
  </si>
  <si>
    <t xml:space="preserve">ISM330DLC IMU</t>
  </si>
  <si>
    <t xml:space="preserve">Silicon/Epoxy LGA</t>
  </si>
  <si>
    <t xml:space="preserve">2.5×3×0.83mm LGA-14</t>
  </si>
  <si>
    <t xml:space="preserve">3×3×0.85mm QFN-12</t>
  </si>
  <si>
    <t xml:space="preserve">SKY13585 RF Switch</t>
  </si>
  <si>
    <t xml:space="preserve">Silicon SOT-26</t>
  </si>
  <si>
    <t xml:space="preserve">2.9×1.6×1.1mm SOT-26</t>
  </si>
  <si>
    <t xml:space="preserve">TPS62740 Buck + LP5907 LDO</t>
  </si>
  <si>
    <t xml:space="preserve">Silicon WSON</t>
  </si>
  <si>
    <t xml:space="preserve">2×2mm package each</t>
  </si>
  <si>
    <t xml:space="preserve">2 units combined</t>
  </si>
  <si>
    <t xml:space="preserve">BQ27427 + BQ24040</t>
  </si>
  <si>
    <t xml:space="preserve">Silicon</t>
  </si>
  <si>
    <t xml:space="preserve">&lt;2×2mm each</t>
  </si>
  <si>
    <t xml:space="preserve">Fuel gauge + charger</t>
  </si>
  <si>
    <t xml:space="preserve">MLCC Capacitors (~60 pcs)</t>
  </si>
  <si>
    <t xml:space="preserve">Ceramic MLCC</t>
  </si>
  <si>
    <t xml:space="preserve">0402/0603 mix</t>
  </si>
  <si>
    <t xml:space="preserve">Average 0402 ≈ 8mg each</t>
  </si>
  <si>
    <t xml:space="preserve">Resistors (~35 pcs)</t>
  </si>
  <si>
    <t xml:space="preserve">Thick Film</t>
  </si>
  <si>
    <t xml:space="preserve">0402 mix</t>
  </si>
  <si>
    <t xml:space="preserve">Average 0402 ≈ 4mg each</t>
  </si>
  <si>
    <t xml:space="preserve">Inductors / Ferrite Beads (~15)</t>
  </si>
  <si>
    <t xml:space="preserve">Ferrite/Wire</t>
  </si>
  <si>
    <t xml:space="preserve">Crystals / TCXO (×3)</t>
  </si>
  <si>
    <t xml:space="preserve">Quartz/TCXO</t>
  </si>
  <si>
    <t xml:space="preserve">2016/1610/2016mm</t>
  </si>
  <si>
    <t xml:space="preserve">USB-C Connector</t>
  </si>
  <si>
    <t xml:space="preserve">Brass/Nylon SMT</t>
  </si>
  <si>
    <t xml:space="preserve">8.9×3.0mm footprint</t>
  </si>
  <si>
    <t xml:space="preserve">JST Battery Connector</t>
  </si>
  <si>
    <t xml:space="preserve">Nylon/Brass</t>
  </si>
  <si>
    <t xml:space="preserve">Brass/PBT</t>
  </si>
  <si>
    <t xml:space="preserve">10-pin 1.27mm</t>
  </si>
  <si>
    <t xml:space="preserve">u.FL RF Connectors (×2)</t>
  </si>
  <si>
    <t xml:space="preserve">Brass</t>
  </si>
  <si>
    <t xml:space="preserve">u.FL 3.0×3.0mm</t>
  </si>
  <si>
    <t xml:space="preserve">LEDs ×6</t>
  </si>
  <si>
    <t xml:space="preserve">LED Epoxy 0603</t>
  </si>
  <si>
    <t xml:space="preserve">1.6×0.8mm 0603</t>
  </si>
  <si>
    <t xml:space="preserve">IP67 Push Button (SW1)</t>
  </si>
  <si>
    <t xml:space="preserve">Stainless/Nylon IP67</t>
  </si>
  <si>
    <t xml:space="preserve">IP67 seal adds mass</t>
  </si>
  <si>
    <t xml:space="preserve">Slide Switch (SW2)</t>
  </si>
  <si>
    <t xml:space="preserve">Nylon/Brass SPDT</t>
  </si>
  <si>
    <t xml:space="preserve">6×4mm SMD</t>
  </si>
  <si>
    <t xml:space="preserve">Solder (estimated)</t>
  </si>
  <si>
    <t xml:space="preserve">SAC305 Lead-free</t>
  </si>
  <si>
    <t xml:space="preserve">Reflow SMT</t>
  </si>
  <si>
    <t xml:space="preserve">All pads; wave not used</t>
  </si>
  <si>
    <t xml:space="preserve">PCB Conformal Coating</t>
  </si>
  <si>
    <t xml:space="preserve">Acrylic/Silicone</t>
  </si>
  <si>
    <t xml:space="preserve">70µm average</t>
  </si>
  <si>
    <t xml:space="preserve">IP67 grade coating</t>
  </si>
  <si>
    <t xml:space="preserve">Li-Po Battery 3000mAh</t>
  </si>
  <si>
    <t xml:space="preserve">Li-Polymer cell</t>
  </si>
  <si>
    <t xml:space="preserve">~60×40×4.8mm</t>
  </si>
  <si>
    <t xml:space="preserve">Typical 3000mAh cell weight</t>
  </si>
  <si>
    <t xml:space="preserve">Battery leads + connector</t>
  </si>
  <si>
    <t xml:space="preserve">Cu wire + JST</t>
  </si>
  <si>
    <t xml:space="preserve">~80mm 26AWG pair</t>
  </si>
  <si>
    <t xml:space="preserve">ABS Enclosure Top Shell</t>
  </si>
  <si>
    <t xml:space="preserve">ABS Plastic</t>
  </si>
  <si>
    <t xml:space="preserve">90×70×12mm shell</t>
  </si>
  <si>
    <t xml:space="preserve">25% fill factor for shell</t>
  </si>
  <si>
    <t xml:space="preserve">ABS Enclosure Bottom Shell</t>
  </si>
  <si>
    <t xml:space="preserve">90×70 bottom</t>
  </si>
  <si>
    <t xml:space="preserve">20% fill for bottom</t>
  </si>
  <si>
    <t xml:space="preserve">Silicone O-ring Gasket</t>
  </si>
  <si>
    <t xml:space="preserve">Silicone</t>
  </si>
  <si>
    <t xml:space="preserve">Perimeter seal 300mm loop</t>
  </si>
  <si>
    <t xml:space="preserve">IP67 seal</t>
  </si>
  <si>
    <t xml:space="preserve">M3 Screws ×4 + Inserts</t>
  </si>
  <si>
    <t xml:space="preserve">Stainless Steel</t>
  </si>
  <si>
    <t xml:space="preserve">M3×6mm countersunk</t>
  </si>
  <si>
    <t xml:space="preserve">Assembly screws</t>
  </si>
  <si>
    <t xml:space="preserve">Foam Pad (PCB-to-batt)</t>
  </si>
  <si>
    <t xml:space="preserve">EVA Foam</t>
  </si>
  <si>
    <t xml:space="preserve">40×60×1mm pad</t>
  </si>
  <si>
    <t xml:space="preserve">Thermal/vibration pad</t>
  </si>
  <si>
    <t xml:space="preserve">Internal Antenna (PCB trace)</t>
  </si>
  <si>
    <t xml:space="preserve">PCB copper trace</t>
  </si>
  <si>
    <t xml:space="preserve">Part of PCB</t>
  </si>
  <si>
    <t xml:space="preserve">No added mass; etched on PCB</t>
  </si>
  <si>
    <t xml:space="preserve">  TOTAL ASSEMBLY WEIGHT SUMMARY</t>
  </si>
  <si>
    <t xml:space="preserve">TOTAL GROSS WEIGHT (calculated)</t>
  </si>
  <si>
    <t xml:space="preserve">grams</t>
  </si>
  <si>
    <t xml:space="preserve">TARGET WEIGHT LIMIT</t>
  </si>
  <si>
    <t xml:space="preserve">grams (&lt; 140g target)</t>
  </si>
  <si>
    <t xml:space="preserve">MARGIN / HEADROOM</t>
  </si>
  <si>
    <t xml:space="preserve">grams remaining (positive = PASS)</t>
  </si>
  <si>
    <t xml:space="preserve">PASS / FAIL STATUS</t>
  </si>
  <si>
    <t xml:space="preserve">  C  VOLUMETRIC &amp; DIMENSIONAL FIT CHECK</t>
  </si>
  <si>
    <t xml:space="preserve">External Volume</t>
  </si>
  <si>
    <t xml:space="preserve">cm³</t>
  </si>
  <si>
    <t xml:space="preserve">L×W×H of enclosure</t>
  </si>
  <si>
    <t xml:space="preserve">PCB Area</t>
  </si>
  <si>
    <t xml:space="preserve">mm²</t>
  </si>
  <si>
    <t xml:space="preserve">PCB footprint</t>
  </si>
  <si>
    <t xml:space="preserve">PCB Volume</t>
  </si>
  <si>
    <t xml:space="preserve">PCB substrate only</t>
  </si>
  <si>
    <t xml:space="preserve">Battery Footprint</t>
  </si>
  <si>
    <t xml:space="preserve">Li-Po cell bottom area</t>
  </si>
  <si>
    <t xml:space="preserve">Battery Volume</t>
  </si>
  <si>
    <t xml:space="preserve">Li-Po cell volume</t>
  </si>
  <si>
    <t xml:space="preserve">Component Area (est. 60%)</t>
  </si>
  <si>
    <t xml:space="preserve">~60% PCB populated area</t>
  </si>
  <si>
    <t xml:space="preserve">Internal Air Volume</t>
  </si>
  <si>
    <t xml:space="preserve">Remaining air space</t>
  </si>
  <si>
    <t xml:space="preserve">IP67 Seal Perimeter</t>
  </si>
  <si>
    <t xml:space="preserve">O-ring path length</t>
  </si>
  <si>
    <t xml:space="preserve">Stack Height Verification</t>
  </si>
  <si>
    <t xml:space="preserve">mm → should be ≤ internal</t>
  </si>
  <si>
    <t xml:space="preserve">CRITICAL: PCB+tallest SMD+battery+pad</t>
  </si>
  <si>
    <t xml:space="preserve">Max SMD Height on PCB</t>
  </si>
  <si>
    <t xml:space="preserve">L89H module is tallest at 2.4mm; capacitor max 3.5mm</t>
  </si>
  <si>
    <t xml:space="preserve">Board flexure zone clearance</t>
  </si>
  <si>
    <t xml:space="preserve">Gap between PCB bottom and enclosure inner</t>
  </si>
  <si>
    <t xml:space="preserve">  D  WEIGHT DISTRIBUTION SUMMARY BY CATEGORY</t>
  </si>
  <si>
    <t xml:space="preserve">Weight (g)</t>
  </si>
  <si>
    <t xml:space="preserve">Key Components</t>
  </si>
  <si>
    <t xml:space="preserve">Battery (LiPo 3000mAh)</t>
  </si>
  <si>
    <t xml:space="preserve">Li-Po cell + leads + connector</t>
  </si>
  <si>
    <t xml:space="preserve">Enclosure (ABS + seal + screws)</t>
  </si>
  <si>
    <t xml:space="preserve">Top+Bottom shells, O-ring, M3 screws</t>
  </si>
  <si>
    <t xml:space="preserve">PCB Substrate + Copper</t>
  </si>
  <si>
    <t xml:space="preserve">FR4 4L + Cu layers + coating</t>
  </si>
  <si>
    <t xml:space="preserve">ICs &amp; Modules</t>
  </si>
  <si>
    <t xml:space="preserve">STM32WB, LR1120, L89H, ISM330DLC, FEM</t>
  </si>
  <si>
    <t xml:space="preserve">Passives (C, R, L, FB)</t>
  </si>
  <si>
    <t xml:space="preserve">All 0402/0603 caps, resistors, inductors</t>
  </si>
  <si>
    <t xml:space="preserve">Connectors &amp; Switches</t>
  </si>
  <si>
    <t xml:space="preserve">USB-C, JST, SWD, u.FL ×2, buttons</t>
  </si>
  <si>
    <t xml:space="preserve">Solder + Misc</t>
  </si>
  <si>
    <t xml:space="preserve">SAC305 solder + foam pad</t>
  </si>
  <si>
    <t xml:space="preserve">TOTAL</t>
  </si>
  <si>
    <t xml:space="preserve">100%</t>
  </si>
  <si>
    <t xml:space="preserve">  E  PCB LAYER STACKUP (4-LAYER FR4)</t>
  </si>
  <si>
    <t xml:space="preserve">Layer</t>
  </si>
  <si>
    <t xml:space="preserve">Name</t>
  </si>
  <si>
    <t xml:space="preserve">Thickness (µm)</t>
  </si>
  <si>
    <t xml:space="preserve">Function</t>
  </si>
  <si>
    <t xml:space="preserve">L1 (Top)</t>
  </si>
  <si>
    <t xml:space="preserve">Signal + Component</t>
  </si>
  <si>
    <t xml:space="preserve">Copper / FR4 Prepreg</t>
  </si>
  <si>
    <t xml:space="preserve">RF routing, SMD pads, LR1120/L89H</t>
  </si>
  <si>
    <t xml:space="preserve">Core 1-2</t>
  </si>
  <si>
    <t xml:space="preserve">Dielectric</t>
  </si>
  <si>
    <t xml:space="preserve">FR4 Core (Tg&gt;170°C)</t>
  </si>
  <si>
    <t xml:space="preserve">Structural; ε_r=4.4 @1GHz</t>
  </si>
  <si>
    <t xml:space="preserve">Ground Plane</t>
  </si>
  <si>
    <t xml:space="preserve">Solid GND reference; RF shielding</t>
  </si>
  <si>
    <t xml:space="preserve">Core 2-3</t>
  </si>
  <si>
    <t xml:space="preserve">Structural; main PCB core</t>
  </si>
  <si>
    <t xml:space="preserve">Power / Signal</t>
  </si>
  <si>
    <t xml:space="preserve">3.3V pours; secondary routing</t>
  </si>
  <si>
    <t xml:space="preserve">Core 3-4</t>
  </si>
  <si>
    <t xml:space="preserve">FR4 Prepreg</t>
  </si>
  <si>
    <t xml:space="preserve">Inner dielectric</t>
  </si>
  <si>
    <t xml:space="preserve">L4 (Bottom)</t>
  </si>
  <si>
    <t xml:space="preserve">Signal + GND flood</t>
  </si>
  <si>
    <t xml:space="preserve">Bottom SMD; partial GND flood</t>
  </si>
  <si>
    <t xml:space="preserve">Solder Mask Top</t>
  </si>
  <si>
    <t xml:space="preserve">Green LPI</t>
  </si>
  <si>
    <t xml:space="preserve">LPI Epoxy</t>
  </si>
  <si>
    <t xml:space="preserve">SMD mask; IP67 assist</t>
  </si>
  <si>
    <t xml:space="preserve">Solder Mask Bot</t>
  </si>
  <si>
    <t xml:space="preserve">Bottom SMD protection</t>
  </si>
  <si>
    <t xml:space="preserve">ENIG Surface Finish</t>
  </si>
  <si>
    <t xml:space="preserve">Au/Ni plating</t>
  </si>
  <si>
    <t xml:space="preserve">Au 0.05µm / Ni 5µm</t>
  </si>
  <si>
    <t xml:space="preserve">Solderability; corrosion resist</t>
  </si>
  <si>
    <t xml:space="preserve">TOTAL PCB THICKNESS</t>
  </si>
  <si>
    <t xml:space="preserve">Nominal 1.6mm</t>
  </si>
  <si>
    <t xml:space="preserve">Standard 4L stackup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</si>
</sst>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"/>
    <numFmt numFmtId="166" formatCode="General"/>
    <numFmt numFmtId="167" formatCode="0%"/>
    <numFmt numFmtId="168" formatCode="#,##0.0"/>
    <numFmt numFmtId="169" formatCode="#,##0.00"/>
    <numFmt numFmtId="170" formatCode="0.0%"/>
    <numFmt numFmtId="171" formatCode="0.000"/>
    <numFmt numFmtId="172" formatCode="0.00"/>
    <numFmt numFmtId="173" formatCode="#,##0.1"/>
    <numFmt numFmtId="174" formatCode="0.0"/>
    <numFmt numFmtId="175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8B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8B"/>
      <name val="Arial"/>
      <family val="0"/>
      <charset val="1"/>
    </font>
    <font>
      <b val="true"/>
      <sz val="12"/>
      <color rgb="FF8B0000"/>
      <name val="Arial"/>
      <family val="0"/>
      <charset val="1"/>
    </font>
    <font>
      <b val="true"/>
      <sz val="12"/>
      <color rgb="FF0066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8B"/>
      <name val="Arial"/>
      <family val="0"/>
      <charset val="1"/>
    </font>
    <font>
      <b val="true"/>
      <sz val="8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5F5F5"/>
      </patternFill>
    </fill>
    <fill>
      <patternFill patternType="solid">
        <fgColor rgb="FFE8F4FD"/>
        <bgColor rgb="FFF5F5F5"/>
      </patternFill>
    </fill>
    <fill>
      <patternFill patternType="solid">
        <fgColor rgb="FF1E7E34"/>
        <bgColor rgb="FF2E8B4A"/>
      </patternFill>
    </fill>
    <fill>
      <patternFill patternType="solid">
        <fgColor rgb="FF2E8B4A"/>
        <bgColor rgb="FF1E7E34"/>
      </patternFill>
    </fill>
    <fill>
      <patternFill patternType="solid">
        <fgColor rgb="FFF5F5F5"/>
        <bgColor rgb="FFE8F4FD"/>
      </patternFill>
    </fill>
    <fill>
      <patternFill patternType="solid">
        <fgColor rgb="FFFFF3CD"/>
        <bgColor rgb="FFFFE8CC"/>
      </patternFill>
    </fill>
    <fill>
      <patternFill patternType="solid">
        <fgColor rgb="FFD4EDDA"/>
        <bgColor rgb="FFD6E4F0"/>
      </patternFill>
    </fill>
    <fill>
      <patternFill patternType="solid">
        <fgColor rgb="FFD6E4F0"/>
        <bgColor rgb="FFD4EDDA"/>
      </patternFill>
    </fill>
    <fill>
      <patternFill patternType="solid">
        <fgColor rgb="FF8B4513"/>
        <bgColor rgb="FFA0522D"/>
      </patternFill>
    </fill>
    <fill>
      <patternFill patternType="solid">
        <fgColor rgb="FFA0522D"/>
        <bgColor rgb="FF8B4513"/>
      </patternFill>
    </fill>
    <fill>
      <patternFill patternType="solid">
        <fgColor rgb="FFFFE8CC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4" fontId="1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6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18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20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1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2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3A5C"/>
          <bgColor rgb="FF000000"/>
        </patternFill>
      </fill>
    </dxf>
    <dxf>
      <fill>
        <patternFill patternType="solid">
          <fgColor rgb="FF2E6DA4"/>
          <bgColor rgb="FF000000"/>
        </patternFill>
      </fill>
    </dxf>
    <dxf>
      <fill>
        <patternFill patternType="solid">
          <fgColor rgb="FFE8F4F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600"/>
      <rgbColor rgb="FF00008B"/>
      <rgbColor rgb="FF808000"/>
      <rgbColor rgb="FF800080"/>
      <rgbColor rgb="FF1E7E34"/>
      <rgbColor rgb="FFCCCCCC"/>
      <rgbColor rgb="FF808080"/>
      <rgbColor rgb="FF9999FF"/>
      <rgbColor rgb="FFA0522D"/>
      <rgbColor rgb="FFFFF3CD"/>
      <rgbColor rgb="FFE8F4FD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E8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A5C"/>
      <rgbColor rgb="FF2E8B4A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R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9" activeCellId="0" sqref="E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20"/>
    <col collapsed="false" customWidth="true" hidden="false" outlineLevel="0" max="5" min="5" style="1" width="28.69"/>
    <col collapsed="false" customWidth="true" hidden="false" outlineLevel="0" max="6" min="6" style="1" width="17.85"/>
    <col collapsed="false" customWidth="true" hidden="false" outlineLevel="0" max="7" min="7" style="1" width="43.71"/>
    <col collapsed="false" customWidth="true" hidden="false" outlineLevel="0" max="8" min="8" style="1" width="7.37"/>
    <col collapsed="false" customWidth="true" hidden="false" outlineLevel="0" max="10" min="9" style="1" width="11"/>
    <col collapsed="false" customWidth="true" hidden="false" outlineLevel="0" max="11" min="11" style="1" width="16"/>
    <col collapsed="false" customWidth="true" hidden="false" outlineLevel="0" max="12" min="12" style="1" width="7.83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30"/>
    <col collapsed="false" customWidth="true" hidden="false" outlineLevel="0" max="17" min="17" style="1" width="5"/>
    <col collapsed="false" customWidth="true" hidden="false" outlineLevel="0" max="18" min="18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27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 customFormat="false" ht="18" hidden="false" customHeight="true" outlineLevel="0" collapsed="false">
      <c r="A4" s="5" t="s">
        <v>20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22.35" hidden="false" customHeight="false" outlineLevel="0" collapsed="false">
      <c r="A5" s="6" t="n">
        <v>1</v>
      </c>
      <c r="B5" s="6" t="s">
        <v>21</v>
      </c>
      <c r="C5" s="7" t="s">
        <v>22</v>
      </c>
      <c r="D5" s="8" t="s">
        <v>23</v>
      </c>
      <c r="E5" s="8" t="s">
        <v>24</v>
      </c>
      <c r="F5" s="8" t="s">
        <v>25</v>
      </c>
      <c r="G5" s="8" t="s">
        <v>26</v>
      </c>
      <c r="H5" s="6" t="n">
        <v>1</v>
      </c>
      <c r="I5" s="9" t="n">
        <v>9.85</v>
      </c>
      <c r="J5" s="9" t="n">
        <f aca="false">H5*I5</f>
        <v>9.85</v>
      </c>
      <c r="K5" s="8" t="s">
        <v>25</v>
      </c>
      <c r="L5" s="8" t="s">
        <v>27</v>
      </c>
      <c r="M5" s="8" t="s">
        <v>28</v>
      </c>
      <c r="N5" s="8" t="s">
        <v>29</v>
      </c>
      <c r="O5" s="8" t="s">
        <v>30</v>
      </c>
      <c r="P5" s="7" t="s">
        <v>31</v>
      </c>
      <c r="Q5" s="8" t="s">
        <v>32</v>
      </c>
      <c r="R5" s="7" t="s">
        <v>33</v>
      </c>
    </row>
    <row r="6" customFormat="false" ht="22.35" hidden="false" customHeight="false" outlineLevel="0" collapsed="false">
      <c r="A6" s="10" t="n">
        <v>2</v>
      </c>
      <c r="B6" s="10" t="s">
        <v>34</v>
      </c>
      <c r="C6" s="11" t="s">
        <v>35</v>
      </c>
      <c r="D6" s="12" t="s">
        <v>36</v>
      </c>
      <c r="E6" s="12" t="s">
        <v>37</v>
      </c>
      <c r="F6" s="12" t="s">
        <v>38</v>
      </c>
      <c r="G6" s="12" t="s">
        <v>39</v>
      </c>
      <c r="H6" s="10" t="n">
        <v>1</v>
      </c>
      <c r="I6" s="13" t="n">
        <v>7.2</v>
      </c>
      <c r="J6" s="13" t="n">
        <f aca="false">H6*I6</f>
        <v>7.2</v>
      </c>
      <c r="K6" s="12" t="s">
        <v>38</v>
      </c>
      <c r="L6" s="12" t="s">
        <v>27</v>
      </c>
      <c r="M6" s="12" t="s">
        <v>28</v>
      </c>
      <c r="N6" s="12" t="s">
        <v>29</v>
      </c>
      <c r="O6" s="12" t="s">
        <v>40</v>
      </c>
      <c r="P6" s="11" t="s">
        <v>41</v>
      </c>
      <c r="Q6" s="12" t="s">
        <v>32</v>
      </c>
      <c r="R6" s="11" t="s">
        <v>42</v>
      </c>
    </row>
    <row r="7" customFormat="false" ht="22.35" hidden="false" customHeight="false" outlineLevel="0" collapsed="false">
      <c r="A7" s="6" t="n">
        <v>3</v>
      </c>
      <c r="B7" s="6" t="s">
        <v>43</v>
      </c>
      <c r="C7" s="7" t="s">
        <v>44</v>
      </c>
      <c r="D7" s="8" t="s">
        <v>45</v>
      </c>
      <c r="E7" s="8" t="s">
        <v>46</v>
      </c>
      <c r="F7" s="8" t="s">
        <v>47</v>
      </c>
      <c r="G7" s="8" t="s">
        <v>48</v>
      </c>
      <c r="H7" s="6" t="n">
        <v>1</v>
      </c>
      <c r="I7" s="9" t="n">
        <v>14.5</v>
      </c>
      <c r="J7" s="9" t="n">
        <f aca="false">H7*I7</f>
        <v>14.5</v>
      </c>
      <c r="K7" s="8" t="s">
        <v>47</v>
      </c>
      <c r="L7" s="8" t="s">
        <v>27</v>
      </c>
      <c r="M7" s="8" t="s">
        <v>28</v>
      </c>
      <c r="N7" s="8" t="s">
        <v>29</v>
      </c>
      <c r="O7" s="8" t="s">
        <v>49</v>
      </c>
      <c r="P7" s="7" t="s">
        <v>50</v>
      </c>
      <c r="Q7" s="8" t="s">
        <v>32</v>
      </c>
      <c r="R7" s="7" t="s">
        <v>51</v>
      </c>
    </row>
    <row r="8" customFormat="false" ht="15" hidden="false" customHeight="false" outlineLevel="0" collapsed="false">
      <c r="A8" s="10" t="n">
        <v>4</v>
      </c>
      <c r="B8" s="10" t="s">
        <v>52</v>
      </c>
      <c r="C8" s="11" t="s">
        <v>53</v>
      </c>
      <c r="D8" s="12" t="s">
        <v>23</v>
      </c>
      <c r="E8" s="12" t="s">
        <v>54</v>
      </c>
      <c r="F8" s="12" t="s">
        <v>55</v>
      </c>
      <c r="G8" s="12" t="s">
        <v>56</v>
      </c>
      <c r="H8" s="10" t="n">
        <v>1</v>
      </c>
      <c r="I8" s="13" t="n">
        <v>3.4</v>
      </c>
      <c r="J8" s="13" t="n">
        <f aca="false">H8*I8</f>
        <v>3.4</v>
      </c>
      <c r="K8" s="12" t="s">
        <v>55</v>
      </c>
      <c r="L8" s="12" t="s">
        <v>27</v>
      </c>
      <c r="M8" s="12" t="s">
        <v>28</v>
      </c>
      <c r="N8" s="12" t="s">
        <v>29</v>
      </c>
      <c r="O8" s="12" t="s">
        <v>57</v>
      </c>
      <c r="P8" s="11" t="s">
        <v>58</v>
      </c>
      <c r="Q8" s="12" t="s">
        <v>32</v>
      </c>
      <c r="R8" s="11" t="s">
        <v>59</v>
      </c>
    </row>
    <row r="9" customFormat="false" ht="22.35" hidden="false" customHeight="false" outlineLevel="0" collapsed="false">
      <c r="A9" s="6" t="n">
        <v>5</v>
      </c>
      <c r="B9" s="6" t="s">
        <v>60</v>
      </c>
      <c r="C9" s="7" t="s">
        <v>61</v>
      </c>
      <c r="D9" s="8" t="s">
        <v>62</v>
      </c>
      <c r="E9" s="8" t="s">
        <v>63</v>
      </c>
      <c r="F9" s="8" t="s">
        <v>64</v>
      </c>
      <c r="G9" s="8" t="s">
        <v>65</v>
      </c>
      <c r="H9" s="6" t="n">
        <v>1</v>
      </c>
      <c r="I9" s="9" t="n">
        <v>4.1</v>
      </c>
      <c r="J9" s="9" t="n">
        <f aca="false">H9*I9</f>
        <v>4.1</v>
      </c>
      <c r="K9" s="8" t="s">
        <v>64</v>
      </c>
      <c r="L9" s="8" t="s">
        <v>27</v>
      </c>
      <c r="M9" s="8" t="s">
        <v>28</v>
      </c>
      <c r="N9" s="8" t="s">
        <v>29</v>
      </c>
      <c r="O9" s="8" t="s">
        <v>66</v>
      </c>
      <c r="P9" s="7" t="s">
        <v>67</v>
      </c>
      <c r="Q9" s="8" t="s">
        <v>32</v>
      </c>
      <c r="R9" s="7" t="s">
        <v>68</v>
      </c>
    </row>
    <row r="10" customFormat="false" ht="22.35" hidden="false" customHeight="false" outlineLevel="0" collapsed="false">
      <c r="A10" s="10" t="n">
        <v>6</v>
      </c>
      <c r="B10" s="10" t="s">
        <v>69</v>
      </c>
      <c r="C10" s="11" t="s">
        <v>70</v>
      </c>
      <c r="D10" s="12" t="s">
        <v>62</v>
      </c>
      <c r="E10" s="12" t="s">
        <v>71</v>
      </c>
      <c r="F10" s="12" t="s">
        <v>72</v>
      </c>
      <c r="G10" s="12" t="s">
        <v>73</v>
      </c>
      <c r="H10" s="10" t="n">
        <v>1</v>
      </c>
      <c r="I10" s="13" t="n">
        <v>0.9</v>
      </c>
      <c r="J10" s="13" t="n">
        <f aca="false">H10*I10</f>
        <v>0.9</v>
      </c>
      <c r="K10" s="12" t="s">
        <v>72</v>
      </c>
      <c r="L10" s="12" t="s">
        <v>27</v>
      </c>
      <c r="M10" s="12" t="s">
        <v>28</v>
      </c>
      <c r="N10" s="12" t="s">
        <v>29</v>
      </c>
      <c r="O10" s="12" t="s">
        <v>74</v>
      </c>
      <c r="P10" s="11" t="s">
        <v>75</v>
      </c>
      <c r="Q10" s="12" t="s">
        <v>32</v>
      </c>
      <c r="R10" s="11" t="s">
        <v>76</v>
      </c>
    </row>
    <row r="11" customFormat="false" ht="22.35" hidden="false" customHeight="false" outlineLevel="0" collapsed="false">
      <c r="A11" s="6" t="n">
        <v>7</v>
      </c>
      <c r="B11" s="6" t="s">
        <v>77</v>
      </c>
      <c r="C11" s="7" t="s">
        <v>78</v>
      </c>
      <c r="D11" s="8" t="s">
        <v>79</v>
      </c>
      <c r="E11" s="8" t="s">
        <v>80</v>
      </c>
      <c r="F11" s="8" t="s">
        <v>81</v>
      </c>
      <c r="G11" s="8" t="s">
        <v>82</v>
      </c>
      <c r="H11" s="6" t="n">
        <v>1</v>
      </c>
      <c r="I11" s="9" t="n">
        <v>2.35</v>
      </c>
      <c r="J11" s="9" t="n">
        <f aca="false">H11*I11</f>
        <v>2.35</v>
      </c>
      <c r="K11" s="8" t="s">
        <v>81</v>
      </c>
      <c r="L11" s="8" t="s">
        <v>27</v>
      </c>
      <c r="M11" s="8" t="s">
        <v>28</v>
      </c>
      <c r="N11" s="8" t="s">
        <v>29</v>
      </c>
      <c r="O11" s="8" t="s">
        <v>83</v>
      </c>
      <c r="P11" s="7" t="s">
        <v>84</v>
      </c>
      <c r="Q11" s="8" t="s">
        <v>32</v>
      </c>
      <c r="R11" s="7" t="s">
        <v>85</v>
      </c>
    </row>
    <row r="12" customFormat="false" ht="22.35" hidden="false" customHeight="false" outlineLevel="0" collapsed="false">
      <c r="A12" s="10" t="n">
        <v>8</v>
      </c>
      <c r="B12" s="10" t="s">
        <v>86</v>
      </c>
      <c r="C12" s="11" t="s">
        <v>87</v>
      </c>
      <c r="D12" s="12" t="s">
        <v>79</v>
      </c>
      <c r="E12" s="12" t="s">
        <v>88</v>
      </c>
      <c r="F12" s="12" t="s">
        <v>89</v>
      </c>
      <c r="G12" s="12" t="s">
        <v>90</v>
      </c>
      <c r="H12" s="10" t="n">
        <v>1</v>
      </c>
      <c r="I12" s="13" t="n">
        <v>0.85</v>
      </c>
      <c r="J12" s="13" t="n">
        <f aca="false">H12*I12</f>
        <v>0.85</v>
      </c>
      <c r="K12" s="12" t="s">
        <v>89</v>
      </c>
      <c r="L12" s="12" t="s">
        <v>27</v>
      </c>
      <c r="M12" s="12" t="s">
        <v>28</v>
      </c>
      <c r="N12" s="12" t="s">
        <v>29</v>
      </c>
      <c r="O12" s="12" t="s">
        <v>83</v>
      </c>
      <c r="P12" s="11" t="s">
        <v>91</v>
      </c>
      <c r="Q12" s="12" t="s">
        <v>32</v>
      </c>
      <c r="R12" s="11" t="s">
        <v>92</v>
      </c>
    </row>
    <row r="13" customFormat="false" ht="22.35" hidden="false" customHeight="false" outlineLevel="0" collapsed="false">
      <c r="A13" s="6" t="n">
        <v>9</v>
      </c>
      <c r="B13" s="6" t="s">
        <v>93</v>
      </c>
      <c r="C13" s="7" t="s">
        <v>94</v>
      </c>
      <c r="D13" s="8" t="s">
        <v>79</v>
      </c>
      <c r="E13" s="8" t="s">
        <v>95</v>
      </c>
      <c r="F13" s="8" t="s">
        <v>96</v>
      </c>
      <c r="G13" s="8" t="s">
        <v>97</v>
      </c>
      <c r="H13" s="6" t="n">
        <v>1</v>
      </c>
      <c r="I13" s="9" t="n">
        <v>3.2</v>
      </c>
      <c r="J13" s="9" t="n">
        <f aca="false">H13*I13</f>
        <v>3.2</v>
      </c>
      <c r="K13" s="8" t="s">
        <v>96</v>
      </c>
      <c r="L13" s="8" t="s">
        <v>27</v>
      </c>
      <c r="M13" s="8" t="s">
        <v>28</v>
      </c>
      <c r="N13" s="8" t="s">
        <v>29</v>
      </c>
      <c r="O13" s="8" t="s">
        <v>83</v>
      </c>
      <c r="P13" s="7" t="s">
        <v>98</v>
      </c>
      <c r="Q13" s="8" t="s">
        <v>32</v>
      </c>
      <c r="R13" s="7" t="s">
        <v>99</v>
      </c>
    </row>
    <row r="14" customFormat="false" ht="22.35" hidden="false" customHeight="false" outlineLevel="0" collapsed="false">
      <c r="A14" s="10" t="n">
        <v>10</v>
      </c>
      <c r="B14" s="10" t="s">
        <v>100</v>
      </c>
      <c r="C14" s="11" t="s">
        <v>101</v>
      </c>
      <c r="D14" s="12" t="s">
        <v>79</v>
      </c>
      <c r="E14" s="12" t="s">
        <v>102</v>
      </c>
      <c r="F14" s="12" t="s">
        <v>81</v>
      </c>
      <c r="G14" s="12" t="s">
        <v>103</v>
      </c>
      <c r="H14" s="10" t="n">
        <v>1</v>
      </c>
      <c r="I14" s="13" t="n">
        <v>1.85</v>
      </c>
      <c r="J14" s="13" t="n">
        <f aca="false">H14*I14</f>
        <v>1.85</v>
      </c>
      <c r="K14" s="12" t="s">
        <v>81</v>
      </c>
      <c r="L14" s="12" t="s">
        <v>27</v>
      </c>
      <c r="M14" s="12" t="s">
        <v>28</v>
      </c>
      <c r="N14" s="12" t="s">
        <v>29</v>
      </c>
      <c r="O14" s="12" t="s">
        <v>83</v>
      </c>
      <c r="P14" s="11" t="s">
        <v>104</v>
      </c>
      <c r="Q14" s="12" t="s">
        <v>32</v>
      </c>
      <c r="R14" s="11" t="s">
        <v>105</v>
      </c>
    </row>
    <row r="15" customFormat="false" ht="22.35" hidden="false" customHeight="false" outlineLevel="0" collapsed="false">
      <c r="A15" s="6" t="n">
        <v>11</v>
      </c>
      <c r="B15" s="6" t="s">
        <v>106</v>
      </c>
      <c r="C15" s="7" t="s">
        <v>107</v>
      </c>
      <c r="D15" s="8" t="s">
        <v>108</v>
      </c>
      <c r="E15" s="8" t="s">
        <v>109</v>
      </c>
      <c r="F15" s="8" t="s">
        <v>110</v>
      </c>
      <c r="G15" s="8" t="s">
        <v>111</v>
      </c>
      <c r="H15" s="6" t="s">
        <v>112</v>
      </c>
      <c r="I15" s="9" t="n">
        <v>0.65</v>
      </c>
      <c r="J15" s="9" t="n">
        <f aca="false">H15*I15</f>
        <v>0.65</v>
      </c>
      <c r="K15" s="8" t="s">
        <v>110</v>
      </c>
      <c r="L15" s="8" t="s">
        <v>27</v>
      </c>
      <c r="M15" s="8" t="s">
        <v>28</v>
      </c>
      <c r="N15" s="8" t="s">
        <v>29</v>
      </c>
      <c r="O15" s="8" t="s">
        <v>113</v>
      </c>
      <c r="P15" s="7" t="s">
        <v>114</v>
      </c>
      <c r="Q15" s="8" t="s">
        <v>32</v>
      </c>
      <c r="R15" s="7" t="s">
        <v>115</v>
      </c>
    </row>
    <row r="16" customFormat="false" ht="18" hidden="false" customHeight="true" outlineLevel="0" collapsed="false">
      <c r="A16" s="5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customFormat="false" ht="22.35" hidden="false" customHeight="false" outlineLevel="0" collapsed="false">
      <c r="A17" s="10" t="n">
        <v>12</v>
      </c>
      <c r="B17" s="10" t="s">
        <v>117</v>
      </c>
      <c r="C17" s="11" t="s">
        <v>118</v>
      </c>
      <c r="D17" s="12" t="s">
        <v>119</v>
      </c>
      <c r="E17" s="12" t="s">
        <v>120</v>
      </c>
      <c r="F17" s="12" t="s">
        <v>121</v>
      </c>
      <c r="G17" s="12" t="s">
        <v>122</v>
      </c>
      <c r="H17" s="10" t="n">
        <v>2</v>
      </c>
      <c r="I17" s="13" t="n">
        <v>0.18</v>
      </c>
      <c r="J17" s="13" t="n">
        <f aca="false">H17*I17</f>
        <v>0.36</v>
      </c>
      <c r="K17" s="12" t="s">
        <v>121</v>
      </c>
      <c r="L17" s="12" t="s">
        <v>27</v>
      </c>
      <c r="M17" s="12" t="s">
        <v>28</v>
      </c>
      <c r="N17" s="12" t="s">
        <v>29</v>
      </c>
      <c r="O17" s="12" t="s">
        <v>123</v>
      </c>
      <c r="P17" s="11" t="s">
        <v>124</v>
      </c>
      <c r="Q17" s="12" t="s">
        <v>32</v>
      </c>
      <c r="R17" s="11" t="s">
        <v>120</v>
      </c>
    </row>
    <row r="18" customFormat="false" ht="15" hidden="false" customHeight="false" outlineLevel="0" collapsed="false">
      <c r="A18" s="6" t="n">
        <v>13</v>
      </c>
      <c r="B18" s="6" t="s">
        <v>125</v>
      </c>
      <c r="C18" s="7" t="s">
        <v>126</v>
      </c>
      <c r="D18" s="8" t="s">
        <v>119</v>
      </c>
      <c r="E18" s="8" t="s">
        <v>127</v>
      </c>
      <c r="F18" s="8" t="s">
        <v>121</v>
      </c>
      <c r="G18" s="8" t="s">
        <v>128</v>
      </c>
      <c r="H18" s="6" t="n">
        <v>1</v>
      </c>
      <c r="I18" s="9" t="n">
        <v>0.18</v>
      </c>
      <c r="J18" s="9" t="n">
        <f aca="false">H18*I18</f>
        <v>0.18</v>
      </c>
      <c r="K18" s="8" t="s">
        <v>121</v>
      </c>
      <c r="L18" s="8" t="s">
        <v>27</v>
      </c>
      <c r="M18" s="8" t="s">
        <v>28</v>
      </c>
      <c r="N18" s="8" t="s">
        <v>29</v>
      </c>
      <c r="O18" s="8" t="s">
        <v>123</v>
      </c>
      <c r="P18" s="7" t="s">
        <v>129</v>
      </c>
      <c r="Q18" s="8" t="s">
        <v>32</v>
      </c>
      <c r="R18" s="7" t="s">
        <v>127</v>
      </c>
    </row>
    <row r="19" customFormat="false" ht="15" hidden="false" customHeight="false" outlineLevel="0" collapsed="false">
      <c r="A19" s="10" t="n">
        <v>14</v>
      </c>
      <c r="B19" s="10" t="s">
        <v>130</v>
      </c>
      <c r="C19" s="11" t="s">
        <v>131</v>
      </c>
      <c r="D19" s="12" t="s">
        <v>132</v>
      </c>
      <c r="E19" s="12" t="s">
        <v>133</v>
      </c>
      <c r="F19" s="12" t="s">
        <v>134</v>
      </c>
      <c r="G19" s="12" t="s">
        <v>135</v>
      </c>
      <c r="H19" s="10" t="n">
        <v>1</v>
      </c>
      <c r="I19" s="13" t="n">
        <v>0.45</v>
      </c>
      <c r="J19" s="13" t="n">
        <f aca="false">H19*I19</f>
        <v>0.45</v>
      </c>
      <c r="K19" s="12" t="s">
        <v>134</v>
      </c>
      <c r="L19" s="12" t="s">
        <v>27</v>
      </c>
      <c r="M19" s="12" t="s">
        <v>28</v>
      </c>
      <c r="N19" s="12" t="s">
        <v>29</v>
      </c>
      <c r="O19" s="12" t="s">
        <v>136</v>
      </c>
      <c r="P19" s="11" t="s">
        <v>137</v>
      </c>
      <c r="Q19" s="12" t="s">
        <v>32</v>
      </c>
      <c r="R19" s="11" t="s">
        <v>138</v>
      </c>
    </row>
    <row r="20" customFormat="false" ht="15" hidden="false" customHeight="false" outlineLevel="0" collapsed="false">
      <c r="A20" s="6" t="n">
        <v>15</v>
      </c>
      <c r="B20" s="6" t="s">
        <v>139</v>
      </c>
      <c r="C20" s="7" t="s">
        <v>140</v>
      </c>
      <c r="D20" s="8" t="s">
        <v>119</v>
      </c>
      <c r="E20" s="8" t="s">
        <v>141</v>
      </c>
      <c r="F20" s="8" t="s">
        <v>121</v>
      </c>
      <c r="G20" s="8" t="s">
        <v>142</v>
      </c>
      <c r="H20" s="6" t="s">
        <v>112</v>
      </c>
      <c r="I20" s="9" t="n">
        <v>0.18</v>
      </c>
      <c r="J20" s="9" t="n">
        <f aca="false">H20*I20</f>
        <v>0.18</v>
      </c>
      <c r="K20" s="8" t="s">
        <v>121</v>
      </c>
      <c r="L20" s="8" t="s">
        <v>27</v>
      </c>
      <c r="M20" s="8" t="s">
        <v>28</v>
      </c>
      <c r="N20" s="8" t="s">
        <v>29</v>
      </c>
      <c r="O20" s="8" t="s">
        <v>123</v>
      </c>
      <c r="P20" s="7" t="s">
        <v>143</v>
      </c>
      <c r="Q20" s="8" t="s">
        <v>32</v>
      </c>
      <c r="R20" s="7" t="s">
        <v>144</v>
      </c>
    </row>
    <row r="21" customFormat="false" ht="22.35" hidden="false" customHeight="false" outlineLevel="0" collapsed="false">
      <c r="A21" s="10" t="n">
        <v>16</v>
      </c>
      <c r="B21" s="10" t="s">
        <v>145</v>
      </c>
      <c r="C21" s="11" t="s">
        <v>146</v>
      </c>
      <c r="D21" s="12" t="s">
        <v>132</v>
      </c>
      <c r="E21" s="12" t="s">
        <v>147</v>
      </c>
      <c r="F21" s="12" t="s">
        <v>148</v>
      </c>
      <c r="G21" s="12" t="s">
        <v>149</v>
      </c>
      <c r="H21" s="10" t="n">
        <v>1</v>
      </c>
      <c r="I21" s="13" t="n">
        <v>0.12</v>
      </c>
      <c r="J21" s="13" t="n">
        <f aca="false">H21*I21</f>
        <v>0.12</v>
      </c>
      <c r="K21" s="12" t="s">
        <v>148</v>
      </c>
      <c r="L21" s="12" t="s">
        <v>27</v>
      </c>
      <c r="M21" s="12" t="s">
        <v>28</v>
      </c>
      <c r="N21" s="12" t="s">
        <v>29</v>
      </c>
      <c r="O21" s="12" t="s">
        <v>150</v>
      </c>
      <c r="P21" s="11" t="s">
        <v>151</v>
      </c>
      <c r="Q21" s="12" t="s">
        <v>32</v>
      </c>
      <c r="R21" s="11" t="s">
        <v>152</v>
      </c>
    </row>
    <row r="22" customFormat="false" ht="15" hidden="false" customHeight="false" outlineLevel="0" collapsed="false">
      <c r="A22" s="6" t="n">
        <v>17</v>
      </c>
      <c r="B22" s="6" t="s">
        <v>153</v>
      </c>
      <c r="C22" s="7" t="s">
        <v>154</v>
      </c>
      <c r="D22" s="8" t="s">
        <v>132</v>
      </c>
      <c r="E22" s="8" t="s">
        <v>155</v>
      </c>
      <c r="F22" s="8" t="s">
        <v>148</v>
      </c>
      <c r="G22" s="8" t="s">
        <v>156</v>
      </c>
      <c r="H22" s="6" t="n">
        <v>1</v>
      </c>
      <c r="I22" s="9" t="n">
        <v>0.12</v>
      </c>
      <c r="J22" s="9" t="n">
        <f aca="false">H22*I22</f>
        <v>0.12</v>
      </c>
      <c r="K22" s="8" t="s">
        <v>148</v>
      </c>
      <c r="L22" s="8" t="s">
        <v>27</v>
      </c>
      <c r="M22" s="8" t="s">
        <v>28</v>
      </c>
      <c r="N22" s="8" t="s">
        <v>29</v>
      </c>
      <c r="O22" s="8" t="s">
        <v>150</v>
      </c>
      <c r="P22" s="7" t="s">
        <v>157</v>
      </c>
      <c r="Q22" s="8" t="s">
        <v>32</v>
      </c>
      <c r="R22" s="7" t="s">
        <v>152</v>
      </c>
    </row>
    <row r="23" customFormat="false" ht="22.35" hidden="false" customHeight="false" outlineLevel="0" collapsed="false">
      <c r="A23" s="10" t="n">
        <v>18</v>
      </c>
      <c r="B23" s="10" t="s">
        <v>158</v>
      </c>
      <c r="C23" s="11" t="s">
        <v>159</v>
      </c>
      <c r="D23" s="12" t="s">
        <v>132</v>
      </c>
      <c r="E23" s="12" t="s">
        <v>155</v>
      </c>
      <c r="F23" s="12" t="s">
        <v>148</v>
      </c>
      <c r="G23" s="12" t="s">
        <v>156</v>
      </c>
      <c r="H23" s="10" t="n">
        <v>1</v>
      </c>
      <c r="I23" s="13" t="n">
        <v>0.12</v>
      </c>
      <c r="J23" s="13" t="n">
        <f aca="false">H23*I23</f>
        <v>0.12</v>
      </c>
      <c r="K23" s="12" t="s">
        <v>148</v>
      </c>
      <c r="L23" s="12" t="s">
        <v>27</v>
      </c>
      <c r="M23" s="12" t="s">
        <v>28</v>
      </c>
      <c r="N23" s="12" t="s">
        <v>29</v>
      </c>
      <c r="O23" s="12" t="s">
        <v>150</v>
      </c>
      <c r="P23" s="11" t="s">
        <v>160</v>
      </c>
      <c r="Q23" s="12" t="s">
        <v>32</v>
      </c>
      <c r="R23" s="11" t="s">
        <v>161</v>
      </c>
    </row>
    <row r="24" customFormat="false" ht="15" hidden="false" customHeight="false" outlineLevel="0" collapsed="false">
      <c r="A24" s="6" t="n">
        <v>19</v>
      </c>
      <c r="B24" s="6" t="s">
        <v>162</v>
      </c>
      <c r="C24" s="7" t="s">
        <v>163</v>
      </c>
      <c r="D24" s="8" t="s">
        <v>132</v>
      </c>
      <c r="E24" s="8" t="s">
        <v>147</v>
      </c>
      <c r="F24" s="8" t="s">
        <v>148</v>
      </c>
      <c r="G24" s="8" t="s">
        <v>164</v>
      </c>
      <c r="H24" s="6" t="n">
        <v>1</v>
      </c>
      <c r="I24" s="9" t="n">
        <v>0.12</v>
      </c>
      <c r="J24" s="9" t="n">
        <f aca="false">H24*I24</f>
        <v>0.12</v>
      </c>
      <c r="K24" s="8" t="s">
        <v>148</v>
      </c>
      <c r="L24" s="8" t="s">
        <v>27</v>
      </c>
      <c r="M24" s="8" t="s">
        <v>28</v>
      </c>
      <c r="N24" s="8" t="s">
        <v>29</v>
      </c>
      <c r="O24" s="8" t="s">
        <v>150</v>
      </c>
      <c r="P24" s="7" t="s">
        <v>165</v>
      </c>
      <c r="Q24" s="8" t="s">
        <v>32</v>
      </c>
      <c r="R24" s="7" t="s">
        <v>152</v>
      </c>
    </row>
    <row r="25" customFormat="false" ht="15" hidden="false" customHeight="false" outlineLevel="0" collapsed="false">
      <c r="A25" s="10" t="n">
        <v>20</v>
      </c>
      <c r="B25" s="10" t="s">
        <v>166</v>
      </c>
      <c r="C25" s="11" t="s">
        <v>167</v>
      </c>
      <c r="D25" s="12" t="s">
        <v>119</v>
      </c>
      <c r="E25" s="12" t="s">
        <v>168</v>
      </c>
      <c r="F25" s="12" t="s">
        <v>148</v>
      </c>
      <c r="G25" s="12" t="s">
        <v>169</v>
      </c>
      <c r="H25" s="10" t="n">
        <v>1</v>
      </c>
      <c r="I25" s="13" t="n">
        <v>0.12</v>
      </c>
      <c r="J25" s="13" t="n">
        <f aca="false">H25*I25</f>
        <v>0.12</v>
      </c>
      <c r="K25" s="12" t="s">
        <v>148</v>
      </c>
      <c r="L25" s="12" t="s">
        <v>27</v>
      </c>
      <c r="M25" s="12" t="s">
        <v>28</v>
      </c>
      <c r="N25" s="12" t="s">
        <v>29</v>
      </c>
      <c r="O25" s="12" t="s">
        <v>150</v>
      </c>
      <c r="P25" s="11" t="s">
        <v>170</v>
      </c>
      <c r="Q25" s="12" t="s">
        <v>32</v>
      </c>
      <c r="R25" s="11" t="s">
        <v>155</v>
      </c>
    </row>
    <row r="26" customFormat="false" ht="22.35" hidden="false" customHeight="false" outlineLevel="0" collapsed="false">
      <c r="A26" s="6" t="n">
        <v>21</v>
      </c>
      <c r="B26" s="6" t="s">
        <v>171</v>
      </c>
      <c r="C26" s="7" t="s">
        <v>172</v>
      </c>
      <c r="D26" s="8" t="s">
        <v>132</v>
      </c>
      <c r="E26" s="8" t="s">
        <v>173</v>
      </c>
      <c r="F26" s="8" t="s">
        <v>148</v>
      </c>
      <c r="G26" s="8" t="s">
        <v>174</v>
      </c>
      <c r="H26" s="6" t="n">
        <v>1</v>
      </c>
      <c r="I26" s="9" t="n">
        <v>0.12</v>
      </c>
      <c r="J26" s="9" t="n">
        <f aca="false">H26*I26</f>
        <v>0.12</v>
      </c>
      <c r="K26" s="8" t="s">
        <v>148</v>
      </c>
      <c r="L26" s="8" t="s">
        <v>27</v>
      </c>
      <c r="M26" s="8" t="s">
        <v>28</v>
      </c>
      <c r="N26" s="8" t="s">
        <v>29</v>
      </c>
      <c r="O26" s="8" t="s">
        <v>150</v>
      </c>
      <c r="P26" s="7" t="s">
        <v>175</v>
      </c>
      <c r="Q26" s="8" t="s">
        <v>32</v>
      </c>
      <c r="R26" s="7" t="s">
        <v>144</v>
      </c>
    </row>
    <row r="27" customFormat="false" ht="18" hidden="false" customHeight="true" outlineLevel="0" collapsed="false">
      <c r="A27" s="5" t="s">
        <v>176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customFormat="false" ht="32.8" hidden="false" customHeight="false" outlineLevel="0" collapsed="false">
      <c r="A28" s="10" t="n">
        <v>22</v>
      </c>
      <c r="B28" s="10" t="s">
        <v>177</v>
      </c>
      <c r="C28" s="11" t="s">
        <v>178</v>
      </c>
      <c r="D28" s="12" t="s">
        <v>119</v>
      </c>
      <c r="E28" s="12" t="s">
        <v>179</v>
      </c>
      <c r="F28" s="12" t="s">
        <v>121</v>
      </c>
      <c r="G28" s="12" t="s">
        <v>180</v>
      </c>
      <c r="H28" s="10" t="n">
        <v>10</v>
      </c>
      <c r="I28" s="13" t="n">
        <v>0.02</v>
      </c>
      <c r="J28" s="13" t="n">
        <f aca="false">H28*I28</f>
        <v>0.2</v>
      </c>
      <c r="K28" s="12" t="s">
        <v>121</v>
      </c>
      <c r="L28" s="12" t="s">
        <v>27</v>
      </c>
      <c r="M28" s="12" t="s">
        <v>28</v>
      </c>
      <c r="N28" s="12" t="s">
        <v>29</v>
      </c>
      <c r="O28" s="12" t="s">
        <v>181</v>
      </c>
      <c r="P28" s="11" t="s">
        <v>182</v>
      </c>
      <c r="Q28" s="12" t="s">
        <v>32</v>
      </c>
      <c r="R28" s="11" t="s">
        <v>183</v>
      </c>
    </row>
    <row r="29" customFormat="false" ht="15" hidden="false" customHeight="false" outlineLevel="0" collapsed="false">
      <c r="A29" s="6" t="n">
        <v>23</v>
      </c>
      <c r="B29" s="6" t="s">
        <v>184</v>
      </c>
      <c r="C29" s="7" t="s">
        <v>185</v>
      </c>
      <c r="D29" s="8" t="s">
        <v>119</v>
      </c>
      <c r="E29" s="8" t="s">
        <v>186</v>
      </c>
      <c r="F29" s="8" t="s">
        <v>148</v>
      </c>
      <c r="G29" s="8" t="s">
        <v>187</v>
      </c>
      <c r="H29" s="6" t="n">
        <v>4</v>
      </c>
      <c r="I29" s="9" t="n">
        <v>0.08</v>
      </c>
      <c r="J29" s="9" t="n">
        <f aca="false">H29*I29</f>
        <v>0.32</v>
      </c>
      <c r="K29" s="8" t="s">
        <v>148</v>
      </c>
      <c r="L29" s="8" t="s">
        <v>27</v>
      </c>
      <c r="M29" s="8" t="s">
        <v>28</v>
      </c>
      <c r="N29" s="8" t="s">
        <v>29</v>
      </c>
      <c r="O29" s="8" t="s">
        <v>181</v>
      </c>
      <c r="P29" s="7" t="s">
        <v>188</v>
      </c>
      <c r="Q29" s="8" t="s">
        <v>32</v>
      </c>
      <c r="R29" s="7" t="s">
        <v>189</v>
      </c>
    </row>
    <row r="30" customFormat="false" ht="22.35" hidden="false" customHeight="false" outlineLevel="0" collapsed="false">
      <c r="A30" s="10" t="n">
        <v>24</v>
      </c>
      <c r="B30" s="10" t="s">
        <v>190</v>
      </c>
      <c r="C30" s="11" t="s">
        <v>191</v>
      </c>
      <c r="D30" s="12" t="s">
        <v>192</v>
      </c>
      <c r="E30" s="12" t="s">
        <v>183</v>
      </c>
      <c r="F30" s="12" t="s">
        <v>121</v>
      </c>
      <c r="G30" s="12" t="s">
        <v>193</v>
      </c>
      <c r="H30" s="10" t="n">
        <v>8</v>
      </c>
      <c r="I30" s="13" t="n">
        <v>0.02</v>
      </c>
      <c r="J30" s="13" t="n">
        <f aca="false">H30*I30</f>
        <v>0.16</v>
      </c>
      <c r="K30" s="12" t="s">
        <v>121</v>
      </c>
      <c r="L30" s="12" t="s">
        <v>27</v>
      </c>
      <c r="M30" s="12" t="s">
        <v>28</v>
      </c>
      <c r="N30" s="12" t="s">
        <v>29</v>
      </c>
      <c r="O30" s="12" t="s">
        <v>181</v>
      </c>
      <c r="P30" s="11" t="s">
        <v>194</v>
      </c>
      <c r="Q30" s="12" t="s">
        <v>32</v>
      </c>
      <c r="R30" s="11" t="s">
        <v>179</v>
      </c>
    </row>
    <row r="31" customFormat="false" ht="15" hidden="false" customHeight="false" outlineLevel="0" collapsed="false">
      <c r="A31" s="6" t="n">
        <v>25</v>
      </c>
      <c r="B31" s="6" t="s">
        <v>195</v>
      </c>
      <c r="C31" s="7" t="s">
        <v>196</v>
      </c>
      <c r="D31" s="8" t="s">
        <v>119</v>
      </c>
      <c r="E31" s="8" t="s">
        <v>186</v>
      </c>
      <c r="F31" s="8" t="s">
        <v>148</v>
      </c>
      <c r="G31" s="8" t="s">
        <v>197</v>
      </c>
      <c r="H31" s="6" t="n">
        <v>2</v>
      </c>
      <c r="I31" s="9" t="n">
        <v>0.08</v>
      </c>
      <c r="J31" s="9" t="n">
        <f aca="false">H31*I31</f>
        <v>0.16</v>
      </c>
      <c r="K31" s="8" t="s">
        <v>148</v>
      </c>
      <c r="L31" s="8" t="s">
        <v>27</v>
      </c>
      <c r="M31" s="8" t="s">
        <v>28</v>
      </c>
      <c r="N31" s="8" t="s">
        <v>29</v>
      </c>
      <c r="O31" s="8" t="s">
        <v>181</v>
      </c>
      <c r="P31" s="7" t="s">
        <v>198</v>
      </c>
      <c r="Q31" s="8" t="s">
        <v>32</v>
      </c>
      <c r="R31" s="7" t="s">
        <v>189</v>
      </c>
    </row>
    <row r="32" customFormat="false" ht="15" hidden="false" customHeight="false" outlineLevel="0" collapsed="false">
      <c r="A32" s="10" t="n">
        <v>26</v>
      </c>
      <c r="B32" s="10" t="s">
        <v>199</v>
      </c>
      <c r="C32" s="11" t="s">
        <v>200</v>
      </c>
      <c r="D32" s="12" t="s">
        <v>119</v>
      </c>
      <c r="E32" s="12" t="s">
        <v>179</v>
      </c>
      <c r="F32" s="12" t="s">
        <v>121</v>
      </c>
      <c r="G32" s="12" t="s">
        <v>193</v>
      </c>
      <c r="H32" s="10" t="n">
        <v>6</v>
      </c>
      <c r="I32" s="13" t="n">
        <v>0.02</v>
      </c>
      <c r="J32" s="13" t="n">
        <f aca="false">H32*I32</f>
        <v>0.12</v>
      </c>
      <c r="K32" s="12" t="s">
        <v>121</v>
      </c>
      <c r="L32" s="12" t="s">
        <v>27</v>
      </c>
      <c r="M32" s="12" t="s">
        <v>28</v>
      </c>
      <c r="N32" s="12" t="s">
        <v>29</v>
      </c>
      <c r="O32" s="12" t="s">
        <v>181</v>
      </c>
      <c r="P32" s="11" t="s">
        <v>201</v>
      </c>
      <c r="Q32" s="12" t="s">
        <v>32</v>
      </c>
      <c r="R32" s="11" t="s">
        <v>183</v>
      </c>
    </row>
    <row r="33" customFormat="false" ht="15" hidden="false" customHeight="false" outlineLevel="0" collapsed="false">
      <c r="A33" s="6" t="n">
        <v>27</v>
      </c>
      <c r="B33" s="6" t="s">
        <v>202</v>
      </c>
      <c r="C33" s="7" t="s">
        <v>203</v>
      </c>
      <c r="D33" s="8" t="s">
        <v>192</v>
      </c>
      <c r="E33" s="8" t="s">
        <v>189</v>
      </c>
      <c r="F33" s="8" t="s">
        <v>148</v>
      </c>
      <c r="G33" s="8" t="s">
        <v>197</v>
      </c>
      <c r="H33" s="6" t="n">
        <v>2</v>
      </c>
      <c r="I33" s="9" t="n">
        <v>0.08</v>
      </c>
      <c r="J33" s="9" t="n">
        <f aca="false">H33*I33</f>
        <v>0.16</v>
      </c>
      <c r="K33" s="8" t="s">
        <v>148</v>
      </c>
      <c r="L33" s="8" t="s">
        <v>27</v>
      </c>
      <c r="M33" s="8" t="s">
        <v>28</v>
      </c>
      <c r="N33" s="8" t="s">
        <v>29</v>
      </c>
      <c r="O33" s="8" t="s">
        <v>181</v>
      </c>
      <c r="P33" s="7" t="s">
        <v>204</v>
      </c>
      <c r="Q33" s="8" t="s">
        <v>32</v>
      </c>
      <c r="R33" s="7" t="s">
        <v>186</v>
      </c>
    </row>
    <row r="34" customFormat="false" ht="22.35" hidden="false" customHeight="false" outlineLevel="0" collapsed="false">
      <c r="A34" s="10" t="n">
        <v>28</v>
      </c>
      <c r="B34" s="10" t="s">
        <v>205</v>
      </c>
      <c r="C34" s="11" t="s">
        <v>206</v>
      </c>
      <c r="D34" s="12" t="s">
        <v>207</v>
      </c>
      <c r="E34" s="12" t="s">
        <v>208</v>
      </c>
      <c r="F34" s="12" t="s">
        <v>209</v>
      </c>
      <c r="G34" s="12" t="s">
        <v>210</v>
      </c>
      <c r="H34" s="10" t="n">
        <v>1</v>
      </c>
      <c r="I34" s="13" t="n">
        <v>0.22</v>
      </c>
      <c r="J34" s="13" t="n">
        <f aca="false">H34*I34</f>
        <v>0.22</v>
      </c>
      <c r="K34" s="12" t="s">
        <v>209</v>
      </c>
      <c r="L34" s="12" t="s">
        <v>27</v>
      </c>
      <c r="M34" s="12" t="s">
        <v>28</v>
      </c>
      <c r="N34" s="12" t="s">
        <v>29</v>
      </c>
      <c r="O34" s="12" t="s">
        <v>211</v>
      </c>
      <c r="P34" s="11" t="s">
        <v>212</v>
      </c>
      <c r="Q34" s="12" t="s">
        <v>32</v>
      </c>
      <c r="R34" s="11" t="s">
        <v>213</v>
      </c>
    </row>
    <row r="35" customFormat="false" ht="15" hidden="false" customHeight="false" outlineLevel="0" collapsed="false">
      <c r="A35" s="6" t="n">
        <v>29</v>
      </c>
      <c r="B35" s="6" t="s">
        <v>214</v>
      </c>
      <c r="C35" s="7" t="s">
        <v>215</v>
      </c>
      <c r="D35" s="8" t="s">
        <v>119</v>
      </c>
      <c r="E35" s="8" t="s">
        <v>179</v>
      </c>
      <c r="F35" s="8" t="s">
        <v>121</v>
      </c>
      <c r="G35" s="8" t="s">
        <v>193</v>
      </c>
      <c r="H35" s="6" t="n">
        <v>4</v>
      </c>
      <c r="I35" s="9" t="n">
        <v>0.02</v>
      </c>
      <c r="J35" s="9" t="n">
        <f aca="false">H35*I35</f>
        <v>0.08</v>
      </c>
      <c r="K35" s="8" t="s">
        <v>121</v>
      </c>
      <c r="L35" s="8" t="s">
        <v>27</v>
      </c>
      <c r="M35" s="8" t="s">
        <v>28</v>
      </c>
      <c r="N35" s="8" t="s">
        <v>29</v>
      </c>
      <c r="O35" s="8" t="s">
        <v>181</v>
      </c>
      <c r="P35" s="7" t="s">
        <v>216</v>
      </c>
      <c r="Q35" s="8" t="s">
        <v>32</v>
      </c>
      <c r="R35" s="7" t="s">
        <v>183</v>
      </c>
    </row>
    <row r="36" customFormat="false" ht="22.35" hidden="false" customHeight="false" outlineLevel="0" collapsed="false">
      <c r="A36" s="10" t="n">
        <v>30</v>
      </c>
      <c r="B36" s="10" t="s">
        <v>217</v>
      </c>
      <c r="C36" s="11" t="s">
        <v>218</v>
      </c>
      <c r="D36" s="12" t="s">
        <v>119</v>
      </c>
      <c r="E36" s="12" t="s">
        <v>219</v>
      </c>
      <c r="F36" s="12" t="s">
        <v>121</v>
      </c>
      <c r="G36" s="12" t="s">
        <v>220</v>
      </c>
      <c r="H36" s="10" t="n">
        <v>4</v>
      </c>
      <c r="I36" s="13" t="n">
        <v>0.03</v>
      </c>
      <c r="J36" s="13" t="n">
        <f aca="false">H36*I36</f>
        <v>0.12</v>
      </c>
      <c r="K36" s="12" t="s">
        <v>121</v>
      </c>
      <c r="L36" s="12" t="s">
        <v>27</v>
      </c>
      <c r="M36" s="12" t="s">
        <v>28</v>
      </c>
      <c r="N36" s="12" t="s">
        <v>29</v>
      </c>
      <c r="O36" s="12" t="s">
        <v>221</v>
      </c>
      <c r="P36" s="11" t="s">
        <v>222</v>
      </c>
      <c r="Q36" s="12" t="s">
        <v>32</v>
      </c>
      <c r="R36" s="11" t="s">
        <v>223</v>
      </c>
    </row>
    <row r="37" customFormat="false" ht="22.35" hidden="false" customHeight="false" outlineLevel="0" collapsed="false">
      <c r="A37" s="6" t="n">
        <v>31</v>
      </c>
      <c r="B37" s="6" t="s">
        <v>224</v>
      </c>
      <c r="C37" s="7" t="s">
        <v>225</v>
      </c>
      <c r="D37" s="8" t="s">
        <v>119</v>
      </c>
      <c r="E37" s="8" t="s">
        <v>226</v>
      </c>
      <c r="F37" s="8" t="s">
        <v>121</v>
      </c>
      <c r="G37" s="8" t="s">
        <v>227</v>
      </c>
      <c r="H37" s="6" t="n">
        <v>4</v>
      </c>
      <c r="I37" s="9" t="n">
        <v>0.04</v>
      </c>
      <c r="J37" s="9" t="n">
        <f aca="false">H37*I37</f>
        <v>0.16</v>
      </c>
      <c r="K37" s="8" t="s">
        <v>121</v>
      </c>
      <c r="L37" s="8" t="s">
        <v>27</v>
      </c>
      <c r="M37" s="8" t="s">
        <v>28</v>
      </c>
      <c r="N37" s="8" t="s">
        <v>29</v>
      </c>
      <c r="O37" s="8" t="s">
        <v>221</v>
      </c>
      <c r="P37" s="7" t="s">
        <v>228</v>
      </c>
      <c r="Q37" s="8" t="s">
        <v>32</v>
      </c>
      <c r="R37" s="7" t="s">
        <v>226</v>
      </c>
    </row>
    <row r="38" customFormat="false" ht="22.35" hidden="false" customHeight="false" outlineLevel="0" collapsed="false">
      <c r="A38" s="10" t="n">
        <v>32</v>
      </c>
      <c r="B38" s="10" t="s">
        <v>229</v>
      </c>
      <c r="C38" s="11" t="s">
        <v>230</v>
      </c>
      <c r="D38" s="12" t="s">
        <v>119</v>
      </c>
      <c r="E38" s="12" t="s">
        <v>231</v>
      </c>
      <c r="F38" s="12" t="s">
        <v>121</v>
      </c>
      <c r="G38" s="12" t="s">
        <v>232</v>
      </c>
      <c r="H38" s="10" t="n">
        <v>2</v>
      </c>
      <c r="I38" s="13" t="n">
        <v>0.04</v>
      </c>
      <c r="J38" s="13" t="n">
        <f aca="false">H38*I38</f>
        <v>0.08</v>
      </c>
      <c r="K38" s="12" t="s">
        <v>121</v>
      </c>
      <c r="L38" s="12" t="s">
        <v>27</v>
      </c>
      <c r="M38" s="12" t="s">
        <v>28</v>
      </c>
      <c r="N38" s="12" t="s">
        <v>29</v>
      </c>
      <c r="O38" s="12" t="s">
        <v>233</v>
      </c>
      <c r="P38" s="11" t="s">
        <v>234</v>
      </c>
      <c r="Q38" s="12" t="s">
        <v>32</v>
      </c>
      <c r="R38" s="11" t="s">
        <v>231</v>
      </c>
    </row>
    <row r="39" customFormat="false" ht="15" hidden="false" customHeight="false" outlineLevel="0" collapsed="false">
      <c r="A39" s="6" t="n">
        <v>33</v>
      </c>
      <c r="B39" s="6" t="s">
        <v>235</v>
      </c>
      <c r="C39" s="7" t="s">
        <v>236</v>
      </c>
      <c r="D39" s="8" t="s">
        <v>119</v>
      </c>
      <c r="E39" s="8" t="s">
        <v>231</v>
      </c>
      <c r="F39" s="8" t="s">
        <v>121</v>
      </c>
      <c r="G39" s="8" t="s">
        <v>232</v>
      </c>
      <c r="H39" s="6" t="n">
        <v>2</v>
      </c>
      <c r="I39" s="9" t="n">
        <v>0.04</v>
      </c>
      <c r="J39" s="9" t="n">
        <f aca="false">H39*I39</f>
        <v>0.08</v>
      </c>
      <c r="K39" s="8" t="s">
        <v>121</v>
      </c>
      <c r="L39" s="8" t="s">
        <v>27</v>
      </c>
      <c r="M39" s="8" t="s">
        <v>28</v>
      </c>
      <c r="N39" s="8" t="s">
        <v>29</v>
      </c>
      <c r="O39" s="8" t="s">
        <v>233</v>
      </c>
      <c r="P39" s="7" t="s">
        <v>237</v>
      </c>
      <c r="Q39" s="8" t="s">
        <v>32</v>
      </c>
      <c r="R39" s="7" t="s">
        <v>231</v>
      </c>
    </row>
    <row r="40" customFormat="false" ht="15" hidden="false" customHeight="false" outlineLevel="0" collapsed="false">
      <c r="A40" s="10" t="n">
        <v>34</v>
      </c>
      <c r="B40" s="10" t="s">
        <v>238</v>
      </c>
      <c r="C40" s="11" t="s">
        <v>239</v>
      </c>
      <c r="D40" s="12" t="s">
        <v>119</v>
      </c>
      <c r="E40" s="12" t="s">
        <v>240</v>
      </c>
      <c r="F40" s="12" t="s">
        <v>121</v>
      </c>
      <c r="G40" s="12" t="s">
        <v>241</v>
      </c>
      <c r="H40" s="10" t="n">
        <v>2</v>
      </c>
      <c r="I40" s="13" t="n">
        <v>0.04</v>
      </c>
      <c r="J40" s="13" t="n">
        <f aca="false">H40*I40</f>
        <v>0.08</v>
      </c>
      <c r="K40" s="12" t="s">
        <v>121</v>
      </c>
      <c r="L40" s="12" t="s">
        <v>27</v>
      </c>
      <c r="M40" s="12" t="s">
        <v>28</v>
      </c>
      <c r="N40" s="12" t="s">
        <v>29</v>
      </c>
      <c r="O40" s="12" t="s">
        <v>233</v>
      </c>
      <c r="P40" s="11" t="s">
        <v>242</v>
      </c>
      <c r="Q40" s="12" t="s">
        <v>32</v>
      </c>
      <c r="R40" s="11" t="s">
        <v>240</v>
      </c>
    </row>
    <row r="41" customFormat="false" ht="15" hidden="false" customHeight="false" outlineLevel="0" collapsed="false">
      <c r="A41" s="6" t="n">
        <v>35</v>
      </c>
      <c r="B41" s="6" t="s">
        <v>243</v>
      </c>
      <c r="C41" s="7" t="s">
        <v>244</v>
      </c>
      <c r="D41" s="8" t="s">
        <v>207</v>
      </c>
      <c r="E41" s="8" t="s">
        <v>245</v>
      </c>
      <c r="F41" s="8" t="s">
        <v>246</v>
      </c>
      <c r="G41" s="8" t="s">
        <v>247</v>
      </c>
      <c r="H41" s="6" t="n">
        <v>2</v>
      </c>
      <c r="I41" s="9" t="n">
        <v>0.28</v>
      </c>
      <c r="J41" s="9" t="n">
        <f aca="false">H41*I41</f>
        <v>0.56</v>
      </c>
      <c r="K41" s="8" t="s">
        <v>246</v>
      </c>
      <c r="L41" s="8" t="s">
        <v>27</v>
      </c>
      <c r="M41" s="8" t="s">
        <v>28</v>
      </c>
      <c r="N41" s="8" t="s">
        <v>29</v>
      </c>
      <c r="O41" s="8" t="s">
        <v>211</v>
      </c>
      <c r="P41" s="7" t="s">
        <v>248</v>
      </c>
      <c r="Q41" s="8" t="s">
        <v>32</v>
      </c>
      <c r="R41" s="7" t="s">
        <v>249</v>
      </c>
    </row>
    <row r="42" customFormat="false" ht="22.35" hidden="false" customHeight="false" outlineLevel="0" collapsed="false">
      <c r="A42" s="10" t="n">
        <v>36</v>
      </c>
      <c r="B42" s="10" t="s">
        <v>250</v>
      </c>
      <c r="C42" s="11" t="s">
        <v>251</v>
      </c>
      <c r="D42" s="12" t="s">
        <v>119</v>
      </c>
      <c r="E42" s="12" t="s">
        <v>252</v>
      </c>
      <c r="F42" s="12" t="s">
        <v>148</v>
      </c>
      <c r="G42" s="12" t="s">
        <v>253</v>
      </c>
      <c r="H42" s="10" t="n">
        <v>4</v>
      </c>
      <c r="I42" s="13" t="n">
        <v>0.05</v>
      </c>
      <c r="J42" s="13" t="n">
        <f aca="false">H42*I42</f>
        <v>0.2</v>
      </c>
      <c r="K42" s="12" t="s">
        <v>148</v>
      </c>
      <c r="L42" s="12" t="s">
        <v>27</v>
      </c>
      <c r="M42" s="12" t="s">
        <v>28</v>
      </c>
      <c r="N42" s="12" t="s">
        <v>29</v>
      </c>
      <c r="O42" s="12" t="s">
        <v>181</v>
      </c>
      <c r="P42" s="11" t="s">
        <v>254</v>
      </c>
      <c r="Q42" s="12" t="s">
        <v>32</v>
      </c>
      <c r="R42" s="11" t="s">
        <v>255</v>
      </c>
    </row>
    <row r="43" customFormat="false" ht="15" hidden="false" customHeight="false" outlineLevel="0" collapsed="false">
      <c r="A43" s="6" t="n">
        <v>37</v>
      </c>
      <c r="B43" s="6" t="s">
        <v>256</v>
      </c>
      <c r="C43" s="7" t="s">
        <v>257</v>
      </c>
      <c r="D43" s="8" t="s">
        <v>192</v>
      </c>
      <c r="E43" s="8" t="s">
        <v>258</v>
      </c>
      <c r="F43" s="8" t="s">
        <v>148</v>
      </c>
      <c r="G43" s="8" t="s">
        <v>259</v>
      </c>
      <c r="H43" s="6" t="n">
        <v>4</v>
      </c>
      <c r="I43" s="9" t="n">
        <v>0.06</v>
      </c>
      <c r="J43" s="9" t="n">
        <f aca="false">H43*I43</f>
        <v>0.24</v>
      </c>
      <c r="K43" s="8" t="s">
        <v>148</v>
      </c>
      <c r="L43" s="8" t="s">
        <v>27</v>
      </c>
      <c r="M43" s="8" t="s">
        <v>28</v>
      </c>
      <c r="N43" s="8" t="s">
        <v>29</v>
      </c>
      <c r="O43" s="8" t="s">
        <v>181</v>
      </c>
      <c r="P43" s="7" t="s">
        <v>260</v>
      </c>
      <c r="Q43" s="8" t="s">
        <v>32</v>
      </c>
      <c r="R43" s="7" t="s">
        <v>261</v>
      </c>
    </row>
    <row r="44" customFormat="false" ht="15" hidden="false" customHeight="false" outlineLevel="0" collapsed="false">
      <c r="A44" s="10" t="n">
        <v>38</v>
      </c>
      <c r="B44" s="10" t="s">
        <v>262</v>
      </c>
      <c r="C44" s="11" t="s">
        <v>263</v>
      </c>
      <c r="D44" s="12" t="s">
        <v>119</v>
      </c>
      <c r="E44" s="12" t="s">
        <v>264</v>
      </c>
      <c r="F44" s="12" t="s">
        <v>121</v>
      </c>
      <c r="G44" s="12" t="s">
        <v>265</v>
      </c>
      <c r="H44" s="10" t="n">
        <v>4</v>
      </c>
      <c r="I44" s="13" t="n">
        <v>0.02</v>
      </c>
      <c r="J44" s="13" t="n">
        <f aca="false">H44*I44</f>
        <v>0.08</v>
      </c>
      <c r="K44" s="12" t="s">
        <v>121</v>
      </c>
      <c r="L44" s="12" t="s">
        <v>27</v>
      </c>
      <c r="M44" s="12" t="s">
        <v>28</v>
      </c>
      <c r="N44" s="12" t="s">
        <v>29</v>
      </c>
      <c r="O44" s="12" t="s">
        <v>181</v>
      </c>
      <c r="P44" s="11" t="s">
        <v>266</v>
      </c>
      <c r="Q44" s="12" t="s">
        <v>32</v>
      </c>
      <c r="R44" s="11" t="s">
        <v>267</v>
      </c>
    </row>
    <row r="45" customFormat="false" ht="18" hidden="false" customHeight="true" outlineLevel="0" collapsed="false">
      <c r="A45" s="5" t="s">
        <v>268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customFormat="false" ht="22.35" hidden="false" customHeight="false" outlineLevel="0" collapsed="false">
      <c r="A46" s="6" t="n">
        <v>39</v>
      </c>
      <c r="B46" s="6" t="s">
        <v>269</v>
      </c>
      <c r="C46" s="7" t="s">
        <v>270</v>
      </c>
      <c r="D46" s="8" t="s">
        <v>271</v>
      </c>
      <c r="E46" s="8" t="s">
        <v>272</v>
      </c>
      <c r="F46" s="8" t="s">
        <v>121</v>
      </c>
      <c r="G46" s="8" t="s">
        <v>273</v>
      </c>
      <c r="H46" s="6" t="n">
        <v>8</v>
      </c>
      <c r="I46" s="9" t="n">
        <v>0.01</v>
      </c>
      <c r="J46" s="9" t="n">
        <f aca="false">H46*I46</f>
        <v>0.08</v>
      </c>
      <c r="K46" s="8" t="s">
        <v>121</v>
      </c>
      <c r="L46" s="8" t="s">
        <v>27</v>
      </c>
      <c r="M46" s="8" t="s">
        <v>28</v>
      </c>
      <c r="N46" s="8" t="s">
        <v>29</v>
      </c>
      <c r="O46" s="8" t="s">
        <v>274</v>
      </c>
      <c r="P46" s="7" t="s">
        <v>275</v>
      </c>
      <c r="Q46" s="8" t="s">
        <v>32</v>
      </c>
      <c r="R46" s="7" t="s">
        <v>276</v>
      </c>
    </row>
    <row r="47" customFormat="false" ht="22.35" hidden="false" customHeight="false" outlineLevel="0" collapsed="false">
      <c r="A47" s="10" t="n">
        <v>40</v>
      </c>
      <c r="B47" s="10" t="s">
        <v>277</v>
      </c>
      <c r="C47" s="11" t="s">
        <v>278</v>
      </c>
      <c r="D47" s="12" t="s">
        <v>271</v>
      </c>
      <c r="E47" s="12" t="s">
        <v>279</v>
      </c>
      <c r="F47" s="12" t="s">
        <v>121</v>
      </c>
      <c r="G47" s="12" t="s">
        <v>280</v>
      </c>
      <c r="H47" s="10" t="n">
        <v>4</v>
      </c>
      <c r="I47" s="13" t="n">
        <v>0.01</v>
      </c>
      <c r="J47" s="13" t="n">
        <f aca="false">H47*I47</f>
        <v>0.04</v>
      </c>
      <c r="K47" s="12" t="s">
        <v>121</v>
      </c>
      <c r="L47" s="12" t="s">
        <v>27</v>
      </c>
      <c r="M47" s="12" t="s">
        <v>28</v>
      </c>
      <c r="N47" s="12" t="s">
        <v>29</v>
      </c>
      <c r="O47" s="12" t="s">
        <v>274</v>
      </c>
      <c r="P47" s="11" t="s">
        <v>281</v>
      </c>
      <c r="Q47" s="12" t="s">
        <v>32</v>
      </c>
      <c r="R47" s="11" t="s">
        <v>282</v>
      </c>
    </row>
    <row r="48" customFormat="false" ht="22.35" hidden="false" customHeight="false" outlineLevel="0" collapsed="false">
      <c r="A48" s="6" t="n">
        <v>41</v>
      </c>
      <c r="B48" s="6" t="s">
        <v>283</v>
      </c>
      <c r="C48" s="7" t="s">
        <v>284</v>
      </c>
      <c r="D48" s="8" t="s">
        <v>271</v>
      </c>
      <c r="E48" s="8" t="s">
        <v>285</v>
      </c>
      <c r="F48" s="8" t="s">
        <v>121</v>
      </c>
      <c r="G48" s="8" t="s">
        <v>286</v>
      </c>
      <c r="H48" s="6" t="n">
        <v>6</v>
      </c>
      <c r="I48" s="9" t="n">
        <v>0.01</v>
      </c>
      <c r="J48" s="9" t="n">
        <f aca="false">H48*I48</f>
        <v>0.06</v>
      </c>
      <c r="K48" s="8" t="s">
        <v>121</v>
      </c>
      <c r="L48" s="8" t="s">
        <v>27</v>
      </c>
      <c r="M48" s="8" t="s">
        <v>28</v>
      </c>
      <c r="N48" s="8" t="s">
        <v>29</v>
      </c>
      <c r="O48" s="8" t="s">
        <v>274</v>
      </c>
      <c r="P48" s="7" t="s">
        <v>287</v>
      </c>
      <c r="Q48" s="8" t="s">
        <v>32</v>
      </c>
      <c r="R48" s="7" t="s">
        <v>288</v>
      </c>
    </row>
    <row r="49" customFormat="false" ht="22.35" hidden="false" customHeight="false" outlineLevel="0" collapsed="false">
      <c r="A49" s="10" t="n">
        <v>42</v>
      </c>
      <c r="B49" s="10" t="s">
        <v>289</v>
      </c>
      <c r="C49" s="11" t="s">
        <v>290</v>
      </c>
      <c r="D49" s="12" t="s">
        <v>271</v>
      </c>
      <c r="E49" s="12" t="s">
        <v>291</v>
      </c>
      <c r="F49" s="12" t="s">
        <v>121</v>
      </c>
      <c r="G49" s="12" t="s">
        <v>292</v>
      </c>
      <c r="H49" s="10" t="n">
        <v>4</v>
      </c>
      <c r="I49" s="13" t="n">
        <v>0.01</v>
      </c>
      <c r="J49" s="13" t="n">
        <f aca="false">H49*I49</f>
        <v>0.04</v>
      </c>
      <c r="K49" s="12" t="s">
        <v>121</v>
      </c>
      <c r="L49" s="12" t="s">
        <v>27</v>
      </c>
      <c r="M49" s="12" t="s">
        <v>28</v>
      </c>
      <c r="N49" s="12" t="s">
        <v>29</v>
      </c>
      <c r="O49" s="12" t="s">
        <v>274</v>
      </c>
      <c r="P49" s="11" t="s">
        <v>293</v>
      </c>
      <c r="Q49" s="12" t="s">
        <v>32</v>
      </c>
      <c r="R49" s="11" t="s">
        <v>294</v>
      </c>
    </row>
    <row r="50" customFormat="false" ht="22.35" hidden="false" customHeight="false" outlineLevel="0" collapsed="false">
      <c r="A50" s="6" t="n">
        <v>43</v>
      </c>
      <c r="B50" s="6" t="s">
        <v>295</v>
      </c>
      <c r="C50" s="7" t="s">
        <v>296</v>
      </c>
      <c r="D50" s="8" t="s">
        <v>271</v>
      </c>
      <c r="E50" s="8" t="s">
        <v>297</v>
      </c>
      <c r="F50" s="8" t="s">
        <v>121</v>
      </c>
      <c r="G50" s="8" t="s">
        <v>298</v>
      </c>
      <c r="H50" s="6" t="n">
        <v>2</v>
      </c>
      <c r="I50" s="9" t="n">
        <v>0.01</v>
      </c>
      <c r="J50" s="9" t="n">
        <f aca="false">H50*I50</f>
        <v>0.02</v>
      </c>
      <c r="K50" s="8" t="s">
        <v>121</v>
      </c>
      <c r="L50" s="8" t="s">
        <v>27</v>
      </c>
      <c r="M50" s="8" t="s">
        <v>28</v>
      </c>
      <c r="N50" s="8" t="s">
        <v>29</v>
      </c>
      <c r="O50" s="8" t="s">
        <v>274</v>
      </c>
      <c r="P50" s="7" t="s">
        <v>299</v>
      </c>
      <c r="Q50" s="8" t="s">
        <v>32</v>
      </c>
      <c r="R50" s="7" t="s">
        <v>300</v>
      </c>
    </row>
    <row r="51" customFormat="false" ht="15" hidden="false" customHeight="false" outlineLevel="0" collapsed="false">
      <c r="A51" s="10" t="n">
        <v>44</v>
      </c>
      <c r="B51" s="10" t="s">
        <v>301</v>
      </c>
      <c r="C51" s="11" t="s">
        <v>302</v>
      </c>
      <c r="D51" s="12" t="s">
        <v>271</v>
      </c>
      <c r="E51" s="12" t="s">
        <v>272</v>
      </c>
      <c r="F51" s="12" t="s">
        <v>121</v>
      </c>
      <c r="G51" s="12" t="s">
        <v>303</v>
      </c>
      <c r="H51" s="10" t="n">
        <v>2</v>
      </c>
      <c r="I51" s="13" t="n">
        <v>0.01</v>
      </c>
      <c r="J51" s="13" t="n">
        <f aca="false">H51*I51</f>
        <v>0.02</v>
      </c>
      <c r="K51" s="12" t="s">
        <v>121</v>
      </c>
      <c r="L51" s="12" t="s">
        <v>27</v>
      </c>
      <c r="M51" s="12" t="s">
        <v>28</v>
      </c>
      <c r="N51" s="12" t="s">
        <v>29</v>
      </c>
      <c r="O51" s="12" t="s">
        <v>274</v>
      </c>
      <c r="P51" s="11" t="s">
        <v>304</v>
      </c>
      <c r="Q51" s="12" t="s">
        <v>32</v>
      </c>
      <c r="R51" s="11" t="s">
        <v>276</v>
      </c>
    </row>
    <row r="52" customFormat="false" ht="22.35" hidden="false" customHeight="false" outlineLevel="0" collapsed="false">
      <c r="A52" s="6" t="n">
        <v>45</v>
      </c>
      <c r="B52" s="6" t="s">
        <v>305</v>
      </c>
      <c r="C52" s="7" t="s">
        <v>306</v>
      </c>
      <c r="D52" s="8" t="s">
        <v>271</v>
      </c>
      <c r="E52" s="8" t="s">
        <v>307</v>
      </c>
      <c r="F52" s="8" t="s">
        <v>121</v>
      </c>
      <c r="G52" s="8" t="s">
        <v>308</v>
      </c>
      <c r="H52" s="6" t="n">
        <v>2</v>
      </c>
      <c r="I52" s="9" t="n">
        <v>0.01</v>
      </c>
      <c r="J52" s="9" t="n">
        <f aca="false">H52*I52</f>
        <v>0.02</v>
      </c>
      <c r="K52" s="8" t="s">
        <v>121</v>
      </c>
      <c r="L52" s="8" t="s">
        <v>27</v>
      </c>
      <c r="M52" s="8" t="s">
        <v>28</v>
      </c>
      <c r="N52" s="8" t="s">
        <v>29</v>
      </c>
      <c r="O52" s="8" t="s">
        <v>274</v>
      </c>
      <c r="P52" s="7" t="s">
        <v>309</v>
      </c>
      <c r="Q52" s="8" t="s">
        <v>32</v>
      </c>
      <c r="R52" s="7" t="s">
        <v>310</v>
      </c>
    </row>
    <row r="53" customFormat="false" ht="15" hidden="false" customHeight="false" outlineLevel="0" collapsed="false">
      <c r="A53" s="10" t="n">
        <v>46</v>
      </c>
      <c r="B53" s="10" t="s">
        <v>311</v>
      </c>
      <c r="C53" s="11" t="s">
        <v>312</v>
      </c>
      <c r="D53" s="12" t="s">
        <v>271</v>
      </c>
      <c r="E53" s="12" t="s">
        <v>313</v>
      </c>
      <c r="F53" s="12" t="s">
        <v>121</v>
      </c>
      <c r="G53" s="12" t="s">
        <v>314</v>
      </c>
      <c r="H53" s="10" t="n">
        <v>3</v>
      </c>
      <c r="I53" s="13" t="n">
        <v>0.01</v>
      </c>
      <c r="J53" s="13" t="n">
        <f aca="false">H53*I53</f>
        <v>0.03</v>
      </c>
      <c r="K53" s="12" t="s">
        <v>121</v>
      </c>
      <c r="L53" s="12" t="s">
        <v>27</v>
      </c>
      <c r="M53" s="12" t="s">
        <v>28</v>
      </c>
      <c r="N53" s="12" t="s">
        <v>29</v>
      </c>
      <c r="O53" s="12" t="s">
        <v>274</v>
      </c>
      <c r="P53" s="11" t="s">
        <v>315</v>
      </c>
      <c r="Q53" s="12" t="s">
        <v>32</v>
      </c>
      <c r="R53" s="11" t="s">
        <v>144</v>
      </c>
    </row>
    <row r="54" customFormat="false" ht="22.35" hidden="false" customHeight="false" outlineLevel="0" collapsed="false">
      <c r="A54" s="6" t="n">
        <v>47</v>
      </c>
      <c r="B54" s="6" t="s">
        <v>316</v>
      </c>
      <c r="C54" s="7" t="s">
        <v>317</v>
      </c>
      <c r="D54" s="8" t="s">
        <v>271</v>
      </c>
      <c r="E54" s="8" t="s">
        <v>318</v>
      </c>
      <c r="F54" s="8" t="s">
        <v>121</v>
      </c>
      <c r="G54" s="8" t="s">
        <v>319</v>
      </c>
      <c r="H54" s="6" t="n">
        <v>2</v>
      </c>
      <c r="I54" s="9" t="n">
        <v>0.01</v>
      </c>
      <c r="J54" s="9" t="n">
        <f aca="false">H54*I54</f>
        <v>0.02</v>
      </c>
      <c r="K54" s="8" t="s">
        <v>121</v>
      </c>
      <c r="L54" s="8" t="s">
        <v>27</v>
      </c>
      <c r="M54" s="8" t="s">
        <v>28</v>
      </c>
      <c r="N54" s="8" t="s">
        <v>29</v>
      </c>
      <c r="O54" s="8" t="s">
        <v>274</v>
      </c>
      <c r="P54" s="7" t="s">
        <v>320</v>
      </c>
      <c r="Q54" s="8" t="s">
        <v>32</v>
      </c>
      <c r="R54" s="7" t="s">
        <v>321</v>
      </c>
    </row>
    <row r="55" customFormat="false" ht="22.35" hidden="false" customHeight="false" outlineLevel="0" collapsed="false">
      <c r="A55" s="10" t="n">
        <v>48</v>
      </c>
      <c r="B55" s="10" t="s">
        <v>322</v>
      </c>
      <c r="C55" s="11" t="s">
        <v>323</v>
      </c>
      <c r="D55" s="12" t="s">
        <v>119</v>
      </c>
      <c r="E55" s="12" t="s">
        <v>324</v>
      </c>
      <c r="F55" s="12" t="s">
        <v>121</v>
      </c>
      <c r="G55" s="12" t="s">
        <v>325</v>
      </c>
      <c r="H55" s="10" t="n">
        <v>1</v>
      </c>
      <c r="I55" s="13" t="n">
        <v>0.15</v>
      </c>
      <c r="J55" s="13" t="n">
        <f aca="false">H55*I55</f>
        <v>0.15</v>
      </c>
      <c r="K55" s="12" t="s">
        <v>121</v>
      </c>
      <c r="L55" s="12" t="s">
        <v>27</v>
      </c>
      <c r="M55" s="12" t="s">
        <v>28</v>
      </c>
      <c r="N55" s="12" t="s">
        <v>29</v>
      </c>
      <c r="O55" s="12" t="s">
        <v>326</v>
      </c>
      <c r="P55" s="11" t="s">
        <v>327</v>
      </c>
      <c r="Q55" s="12" t="s">
        <v>32</v>
      </c>
      <c r="R55" s="11" t="s">
        <v>328</v>
      </c>
    </row>
    <row r="56" customFormat="false" ht="22.35" hidden="false" customHeight="false" outlineLevel="0" collapsed="false">
      <c r="A56" s="6" t="n">
        <v>49</v>
      </c>
      <c r="B56" s="6" t="s">
        <v>329</v>
      </c>
      <c r="C56" s="7" t="s">
        <v>330</v>
      </c>
      <c r="D56" s="8" t="s">
        <v>271</v>
      </c>
      <c r="E56" s="8" t="s">
        <v>331</v>
      </c>
      <c r="F56" s="8" t="s">
        <v>121</v>
      </c>
      <c r="G56" s="8" t="s">
        <v>332</v>
      </c>
      <c r="H56" s="6" t="n">
        <v>1</v>
      </c>
      <c r="I56" s="9" t="n">
        <v>0.01</v>
      </c>
      <c r="J56" s="9" t="n">
        <f aca="false">H56*I56</f>
        <v>0.01</v>
      </c>
      <c r="K56" s="8" t="s">
        <v>121</v>
      </c>
      <c r="L56" s="8" t="s">
        <v>27</v>
      </c>
      <c r="M56" s="8" t="s">
        <v>28</v>
      </c>
      <c r="N56" s="8" t="s">
        <v>29</v>
      </c>
      <c r="O56" s="8" t="s">
        <v>274</v>
      </c>
      <c r="P56" s="7" t="s">
        <v>333</v>
      </c>
      <c r="Q56" s="8" t="s">
        <v>32</v>
      </c>
      <c r="R56" s="7" t="s">
        <v>334</v>
      </c>
    </row>
    <row r="57" customFormat="false" ht="22.35" hidden="false" customHeight="false" outlineLevel="0" collapsed="false">
      <c r="A57" s="10" t="n">
        <v>50</v>
      </c>
      <c r="B57" s="10" t="s">
        <v>335</v>
      </c>
      <c r="C57" s="11" t="s">
        <v>336</v>
      </c>
      <c r="D57" s="12" t="s">
        <v>271</v>
      </c>
      <c r="E57" s="12" t="s">
        <v>337</v>
      </c>
      <c r="F57" s="12" t="s">
        <v>121</v>
      </c>
      <c r="G57" s="12" t="s">
        <v>338</v>
      </c>
      <c r="H57" s="10" t="n">
        <v>1</v>
      </c>
      <c r="I57" s="13" t="n">
        <v>0.01</v>
      </c>
      <c r="J57" s="13" t="n">
        <f aca="false">H57*I57</f>
        <v>0.01</v>
      </c>
      <c r="K57" s="12" t="s">
        <v>121</v>
      </c>
      <c r="L57" s="12" t="s">
        <v>27</v>
      </c>
      <c r="M57" s="12" t="s">
        <v>28</v>
      </c>
      <c r="N57" s="12" t="s">
        <v>29</v>
      </c>
      <c r="O57" s="12" t="s">
        <v>274</v>
      </c>
      <c r="P57" s="11" t="s">
        <v>339</v>
      </c>
      <c r="Q57" s="12" t="s">
        <v>32</v>
      </c>
      <c r="R57" s="11" t="s">
        <v>340</v>
      </c>
    </row>
    <row r="58" customFormat="false" ht="18" hidden="false" customHeight="true" outlineLevel="0" collapsed="false">
      <c r="A58" s="5" t="s">
        <v>341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customFormat="false" ht="22.35" hidden="false" customHeight="false" outlineLevel="0" collapsed="false">
      <c r="A59" s="6" t="n">
        <v>51</v>
      </c>
      <c r="B59" s="6" t="s">
        <v>342</v>
      </c>
      <c r="C59" s="7" t="s">
        <v>343</v>
      </c>
      <c r="D59" s="8" t="s">
        <v>344</v>
      </c>
      <c r="E59" s="8" t="s">
        <v>345</v>
      </c>
      <c r="F59" s="8" t="s">
        <v>346</v>
      </c>
      <c r="G59" s="8" t="s">
        <v>347</v>
      </c>
      <c r="H59" s="6" t="n">
        <v>1</v>
      </c>
      <c r="I59" s="9" t="n">
        <v>0.55</v>
      </c>
      <c r="J59" s="9" t="n">
        <f aca="false">H59*I59</f>
        <v>0.55</v>
      </c>
      <c r="K59" s="8" t="s">
        <v>346</v>
      </c>
      <c r="L59" s="8" t="s">
        <v>27</v>
      </c>
      <c r="M59" s="8" t="s">
        <v>28</v>
      </c>
      <c r="N59" s="8" t="s">
        <v>29</v>
      </c>
      <c r="O59" s="8" t="s">
        <v>348</v>
      </c>
      <c r="P59" s="7" t="s">
        <v>349</v>
      </c>
      <c r="Q59" s="8" t="s">
        <v>32</v>
      </c>
      <c r="R59" s="7" t="s">
        <v>350</v>
      </c>
    </row>
    <row r="60" customFormat="false" ht="22.35" hidden="false" customHeight="false" outlineLevel="0" collapsed="false">
      <c r="A60" s="10" t="n">
        <v>52</v>
      </c>
      <c r="B60" s="10" t="s">
        <v>351</v>
      </c>
      <c r="C60" s="11" t="s">
        <v>352</v>
      </c>
      <c r="D60" s="12" t="s">
        <v>353</v>
      </c>
      <c r="E60" s="12" t="s">
        <v>354</v>
      </c>
      <c r="F60" s="12" t="s">
        <v>355</v>
      </c>
      <c r="G60" s="12" t="s">
        <v>356</v>
      </c>
      <c r="H60" s="10" t="n">
        <v>1</v>
      </c>
      <c r="I60" s="13" t="n">
        <v>0.42</v>
      </c>
      <c r="J60" s="13" t="n">
        <f aca="false">H60*I60</f>
        <v>0.42</v>
      </c>
      <c r="K60" s="12" t="s">
        <v>355</v>
      </c>
      <c r="L60" s="12" t="s">
        <v>27</v>
      </c>
      <c r="M60" s="12" t="s">
        <v>28</v>
      </c>
      <c r="N60" s="12" t="s">
        <v>29</v>
      </c>
      <c r="O60" s="12" t="s">
        <v>348</v>
      </c>
      <c r="P60" s="11" t="s">
        <v>357</v>
      </c>
      <c r="Q60" s="12" t="s">
        <v>32</v>
      </c>
      <c r="R60" s="11" t="s">
        <v>358</v>
      </c>
    </row>
    <row r="61" customFormat="false" ht="22.35" hidden="false" customHeight="false" outlineLevel="0" collapsed="false">
      <c r="A61" s="6" t="n">
        <v>53</v>
      </c>
      <c r="B61" s="6" t="s">
        <v>359</v>
      </c>
      <c r="C61" s="7" t="s">
        <v>360</v>
      </c>
      <c r="D61" s="8" t="s">
        <v>361</v>
      </c>
      <c r="E61" s="8" t="s">
        <v>362</v>
      </c>
      <c r="F61" s="8" t="s">
        <v>363</v>
      </c>
      <c r="G61" s="8" t="s">
        <v>364</v>
      </c>
      <c r="H61" s="6" t="n">
        <v>1</v>
      </c>
      <c r="I61" s="9" t="n">
        <v>1.8</v>
      </c>
      <c r="J61" s="9" t="n">
        <f aca="false">H61*I61</f>
        <v>1.8</v>
      </c>
      <c r="K61" s="8" t="s">
        <v>363</v>
      </c>
      <c r="L61" s="8" t="s">
        <v>27</v>
      </c>
      <c r="M61" s="8" t="s">
        <v>28</v>
      </c>
      <c r="N61" s="8" t="s">
        <v>29</v>
      </c>
      <c r="O61" s="8" t="s">
        <v>365</v>
      </c>
      <c r="P61" s="7" t="s">
        <v>366</v>
      </c>
      <c r="Q61" s="8" t="s">
        <v>32</v>
      </c>
      <c r="R61" s="7" t="s">
        <v>367</v>
      </c>
    </row>
    <row r="62" customFormat="false" ht="18" hidden="false" customHeight="true" outlineLevel="0" collapsed="false">
      <c r="A62" s="5" t="s">
        <v>368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customFormat="false" ht="22.35" hidden="false" customHeight="false" outlineLevel="0" collapsed="false">
      <c r="A63" s="10" t="n">
        <v>54</v>
      </c>
      <c r="B63" s="10" t="s">
        <v>369</v>
      </c>
      <c r="C63" s="11" t="s">
        <v>370</v>
      </c>
      <c r="D63" s="12" t="s">
        <v>371</v>
      </c>
      <c r="E63" s="12" t="s">
        <v>372</v>
      </c>
      <c r="F63" s="12" t="s">
        <v>373</v>
      </c>
      <c r="G63" s="12" t="s">
        <v>374</v>
      </c>
      <c r="H63" s="10" t="n">
        <v>1</v>
      </c>
      <c r="I63" s="13" t="n">
        <v>0.55</v>
      </c>
      <c r="J63" s="13" t="n">
        <f aca="false">H63*I63</f>
        <v>0.55</v>
      </c>
      <c r="K63" s="12" t="s">
        <v>373</v>
      </c>
      <c r="L63" s="12" t="s">
        <v>27</v>
      </c>
      <c r="M63" s="12" t="s">
        <v>28</v>
      </c>
      <c r="N63" s="12" t="s">
        <v>29</v>
      </c>
      <c r="O63" s="12" t="s">
        <v>375</v>
      </c>
      <c r="P63" s="11" t="s">
        <v>376</v>
      </c>
      <c r="Q63" s="12" t="s">
        <v>32</v>
      </c>
      <c r="R63" s="11" t="s">
        <v>377</v>
      </c>
    </row>
    <row r="64" customFormat="false" ht="15" hidden="false" customHeight="false" outlineLevel="0" collapsed="false">
      <c r="A64" s="6" t="n">
        <v>55</v>
      </c>
      <c r="B64" s="6" t="s">
        <v>378</v>
      </c>
      <c r="C64" s="7" t="s">
        <v>379</v>
      </c>
      <c r="D64" s="8" t="s">
        <v>380</v>
      </c>
      <c r="E64" s="8" t="s">
        <v>381</v>
      </c>
      <c r="F64" s="8" t="s">
        <v>382</v>
      </c>
      <c r="G64" s="8" t="s">
        <v>383</v>
      </c>
      <c r="H64" s="6" t="n">
        <v>1</v>
      </c>
      <c r="I64" s="9" t="n">
        <v>0.22</v>
      </c>
      <c r="J64" s="9" t="n">
        <f aca="false">H64*I64</f>
        <v>0.22</v>
      </c>
      <c r="K64" s="8" t="s">
        <v>382</v>
      </c>
      <c r="L64" s="8" t="s">
        <v>27</v>
      </c>
      <c r="M64" s="8" t="s">
        <v>28</v>
      </c>
      <c r="N64" s="8" t="s">
        <v>29</v>
      </c>
      <c r="O64" s="8" t="s">
        <v>375</v>
      </c>
      <c r="P64" s="7" t="s">
        <v>384</v>
      </c>
      <c r="Q64" s="8" t="s">
        <v>32</v>
      </c>
      <c r="R64" s="7" t="s">
        <v>385</v>
      </c>
    </row>
    <row r="65" customFormat="false" ht="22.35" hidden="false" customHeight="false" outlineLevel="0" collapsed="false">
      <c r="A65" s="10" t="n">
        <v>56</v>
      </c>
      <c r="B65" s="10" t="s">
        <v>386</v>
      </c>
      <c r="C65" s="11" t="s">
        <v>387</v>
      </c>
      <c r="D65" s="12" t="s">
        <v>388</v>
      </c>
      <c r="E65" s="12" t="s">
        <v>389</v>
      </c>
      <c r="F65" s="12" t="s">
        <v>390</v>
      </c>
      <c r="G65" s="12" t="s">
        <v>391</v>
      </c>
      <c r="H65" s="10" t="n">
        <v>1</v>
      </c>
      <c r="I65" s="13" t="n">
        <v>1.2</v>
      </c>
      <c r="J65" s="13" t="n">
        <f aca="false">H65*I65</f>
        <v>1.2</v>
      </c>
      <c r="K65" s="12" t="s">
        <v>390</v>
      </c>
      <c r="L65" s="12" t="s">
        <v>27</v>
      </c>
      <c r="M65" s="12" t="s">
        <v>28</v>
      </c>
      <c r="N65" s="12" t="s">
        <v>29</v>
      </c>
      <c r="O65" s="12" t="s">
        <v>375</v>
      </c>
      <c r="P65" s="11" t="s">
        <v>392</v>
      </c>
      <c r="Q65" s="12" t="s">
        <v>32</v>
      </c>
      <c r="R65" s="11" t="s">
        <v>393</v>
      </c>
    </row>
    <row r="66" customFormat="false" ht="15" hidden="false" customHeight="false" outlineLevel="0" collapsed="false">
      <c r="A66" s="6" t="n">
        <v>57</v>
      </c>
      <c r="B66" s="6" t="s">
        <v>394</v>
      </c>
      <c r="C66" s="7" t="s">
        <v>395</v>
      </c>
      <c r="D66" s="8" t="s">
        <v>396</v>
      </c>
      <c r="E66" s="8" t="s">
        <v>397</v>
      </c>
      <c r="F66" s="8" t="s">
        <v>398</v>
      </c>
      <c r="G66" s="8" t="s">
        <v>399</v>
      </c>
      <c r="H66" s="6" t="n">
        <v>1</v>
      </c>
      <c r="I66" s="9" t="n">
        <v>0.55</v>
      </c>
      <c r="J66" s="9" t="n">
        <f aca="false">H66*I66</f>
        <v>0.55</v>
      </c>
      <c r="K66" s="8" t="s">
        <v>398</v>
      </c>
      <c r="L66" s="8" t="s">
        <v>27</v>
      </c>
      <c r="M66" s="8" t="s">
        <v>28</v>
      </c>
      <c r="N66" s="8" t="s">
        <v>29</v>
      </c>
      <c r="O66" s="8" t="s">
        <v>400</v>
      </c>
      <c r="P66" s="7" t="s">
        <v>401</v>
      </c>
      <c r="Q66" s="8" t="s">
        <v>32</v>
      </c>
      <c r="R66" s="7" t="s">
        <v>402</v>
      </c>
    </row>
    <row r="67" customFormat="false" ht="22.35" hidden="false" customHeight="false" outlineLevel="0" collapsed="false">
      <c r="A67" s="10" t="n">
        <v>58</v>
      </c>
      <c r="B67" s="10" t="s">
        <v>403</v>
      </c>
      <c r="C67" s="11" t="s">
        <v>404</v>
      </c>
      <c r="D67" s="12" t="s">
        <v>396</v>
      </c>
      <c r="E67" s="12" t="s">
        <v>397</v>
      </c>
      <c r="F67" s="12" t="s">
        <v>398</v>
      </c>
      <c r="G67" s="12" t="s">
        <v>405</v>
      </c>
      <c r="H67" s="10" t="n">
        <v>1</v>
      </c>
      <c r="I67" s="13" t="n">
        <v>0.55</v>
      </c>
      <c r="J67" s="13" t="n">
        <f aca="false">H67*I67</f>
        <v>0.55</v>
      </c>
      <c r="K67" s="12" t="s">
        <v>398</v>
      </c>
      <c r="L67" s="12" t="s">
        <v>27</v>
      </c>
      <c r="M67" s="12" t="s">
        <v>28</v>
      </c>
      <c r="N67" s="12" t="s">
        <v>29</v>
      </c>
      <c r="O67" s="12" t="s">
        <v>400</v>
      </c>
      <c r="P67" s="11" t="s">
        <v>406</v>
      </c>
      <c r="Q67" s="12" t="s">
        <v>32</v>
      </c>
      <c r="R67" s="11" t="s">
        <v>402</v>
      </c>
    </row>
    <row r="68" customFormat="false" ht="15" hidden="false" customHeight="false" outlineLevel="0" collapsed="false">
      <c r="A68" s="6" t="n">
        <v>59</v>
      </c>
      <c r="B68" s="6" t="s">
        <v>407</v>
      </c>
      <c r="C68" s="7" t="s">
        <v>408</v>
      </c>
      <c r="D68" s="8" t="s">
        <v>409</v>
      </c>
      <c r="E68" s="8" t="s">
        <v>410</v>
      </c>
      <c r="F68" s="8" t="s">
        <v>411</v>
      </c>
      <c r="G68" s="8" t="s">
        <v>412</v>
      </c>
      <c r="H68" s="6" t="n">
        <v>1</v>
      </c>
      <c r="I68" s="9" t="n">
        <v>0.35</v>
      </c>
      <c r="J68" s="9" t="n">
        <f aca="false">H68*I68</f>
        <v>0.35</v>
      </c>
      <c r="K68" s="8" t="s">
        <v>411</v>
      </c>
      <c r="L68" s="8" t="s">
        <v>27</v>
      </c>
      <c r="M68" s="8" t="s">
        <v>28</v>
      </c>
      <c r="N68" s="8" t="s">
        <v>29</v>
      </c>
      <c r="O68" s="8" t="s">
        <v>375</v>
      </c>
      <c r="P68" s="7" t="s">
        <v>413</v>
      </c>
      <c r="Q68" s="8" t="s">
        <v>32</v>
      </c>
      <c r="R68" s="7" t="s">
        <v>414</v>
      </c>
    </row>
    <row r="69" customFormat="false" ht="18" hidden="false" customHeight="true" outlineLevel="0" collapsed="false">
      <c r="A69" s="5" t="s">
        <v>415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customFormat="false" ht="22.35" hidden="false" customHeight="false" outlineLevel="0" collapsed="false">
      <c r="A70" s="10" t="n">
        <v>60</v>
      </c>
      <c r="B70" s="10" t="s">
        <v>416</v>
      </c>
      <c r="C70" s="11" t="s">
        <v>417</v>
      </c>
      <c r="D70" s="12" t="s">
        <v>418</v>
      </c>
      <c r="E70" s="12" t="s">
        <v>419</v>
      </c>
      <c r="F70" s="12" t="s">
        <v>420</v>
      </c>
      <c r="G70" s="12" t="s">
        <v>421</v>
      </c>
      <c r="H70" s="10" t="n">
        <v>1</v>
      </c>
      <c r="I70" s="13" t="n">
        <v>0.38</v>
      </c>
      <c r="J70" s="13" t="n">
        <f aca="false">H70*I70</f>
        <v>0.38</v>
      </c>
      <c r="K70" s="12" t="s">
        <v>420</v>
      </c>
      <c r="L70" s="12" t="s">
        <v>27</v>
      </c>
      <c r="M70" s="12" t="s">
        <v>28</v>
      </c>
      <c r="N70" s="12" t="s">
        <v>29</v>
      </c>
      <c r="O70" s="12" t="s">
        <v>422</v>
      </c>
      <c r="P70" s="11" t="s">
        <v>423</v>
      </c>
      <c r="Q70" s="12" t="s">
        <v>32</v>
      </c>
      <c r="R70" s="11" t="s">
        <v>424</v>
      </c>
    </row>
    <row r="71" customFormat="false" ht="22.35" hidden="false" customHeight="false" outlineLevel="0" collapsed="false">
      <c r="A71" s="6" t="n">
        <v>61</v>
      </c>
      <c r="B71" s="6" t="s">
        <v>425</v>
      </c>
      <c r="C71" s="7" t="s">
        <v>426</v>
      </c>
      <c r="D71" s="8" t="s">
        <v>427</v>
      </c>
      <c r="E71" s="8" t="s">
        <v>428</v>
      </c>
      <c r="F71" s="8" t="s">
        <v>429</v>
      </c>
      <c r="G71" s="8" t="s">
        <v>430</v>
      </c>
      <c r="H71" s="6" t="n">
        <v>1</v>
      </c>
      <c r="I71" s="9" t="n">
        <v>0.12</v>
      </c>
      <c r="J71" s="9" t="n">
        <f aca="false">H71*I71</f>
        <v>0.12</v>
      </c>
      <c r="K71" s="8" t="s">
        <v>429</v>
      </c>
      <c r="L71" s="8" t="s">
        <v>27</v>
      </c>
      <c r="M71" s="8" t="s">
        <v>28</v>
      </c>
      <c r="N71" s="8" t="s">
        <v>29</v>
      </c>
      <c r="O71" s="8" t="s">
        <v>431</v>
      </c>
      <c r="P71" s="7" t="s">
        <v>432</v>
      </c>
      <c r="Q71" s="8" t="s">
        <v>32</v>
      </c>
      <c r="R71" s="7" t="s">
        <v>433</v>
      </c>
    </row>
    <row r="72" customFormat="false" ht="15" hidden="false" customHeight="false" outlineLevel="0" collapsed="false">
      <c r="A72" s="10" t="n">
        <v>62</v>
      </c>
      <c r="B72" s="10" t="s">
        <v>434</v>
      </c>
      <c r="C72" s="11" t="s">
        <v>435</v>
      </c>
      <c r="D72" s="12" t="s">
        <v>427</v>
      </c>
      <c r="E72" s="12" t="s">
        <v>436</v>
      </c>
      <c r="F72" s="12" t="s">
        <v>429</v>
      </c>
      <c r="G72" s="12" t="s">
        <v>437</v>
      </c>
      <c r="H72" s="10" t="n">
        <v>1</v>
      </c>
      <c r="I72" s="13" t="n">
        <v>0.12</v>
      </c>
      <c r="J72" s="13" t="n">
        <f aca="false">H72*I72</f>
        <v>0.12</v>
      </c>
      <c r="K72" s="12" t="s">
        <v>429</v>
      </c>
      <c r="L72" s="12" t="s">
        <v>27</v>
      </c>
      <c r="M72" s="12" t="s">
        <v>28</v>
      </c>
      <c r="N72" s="12" t="s">
        <v>29</v>
      </c>
      <c r="O72" s="12" t="s">
        <v>431</v>
      </c>
      <c r="P72" s="11" t="s">
        <v>438</v>
      </c>
      <c r="Q72" s="12" t="s">
        <v>32</v>
      </c>
      <c r="R72" s="11" t="s">
        <v>439</v>
      </c>
    </row>
    <row r="73" customFormat="false" ht="22.35" hidden="false" customHeight="false" outlineLevel="0" collapsed="false">
      <c r="A73" s="6" t="n">
        <v>63</v>
      </c>
      <c r="B73" s="6" t="s">
        <v>440</v>
      </c>
      <c r="C73" s="7" t="s">
        <v>441</v>
      </c>
      <c r="D73" s="8" t="s">
        <v>427</v>
      </c>
      <c r="E73" s="8" t="s">
        <v>442</v>
      </c>
      <c r="F73" s="8" t="s">
        <v>429</v>
      </c>
      <c r="G73" s="8" t="s">
        <v>443</v>
      </c>
      <c r="H73" s="6" t="n">
        <v>1</v>
      </c>
      <c r="I73" s="9" t="n">
        <v>0.12</v>
      </c>
      <c r="J73" s="9" t="n">
        <f aca="false">H73*I73</f>
        <v>0.12</v>
      </c>
      <c r="K73" s="8" t="s">
        <v>429</v>
      </c>
      <c r="L73" s="8" t="s">
        <v>27</v>
      </c>
      <c r="M73" s="8" t="s">
        <v>28</v>
      </c>
      <c r="N73" s="8" t="s">
        <v>29</v>
      </c>
      <c r="O73" s="8" t="s">
        <v>431</v>
      </c>
      <c r="P73" s="7" t="s">
        <v>444</v>
      </c>
      <c r="Q73" s="8" t="s">
        <v>32</v>
      </c>
      <c r="R73" s="7" t="s">
        <v>445</v>
      </c>
    </row>
    <row r="74" customFormat="false" ht="22.35" hidden="false" customHeight="false" outlineLevel="0" collapsed="false">
      <c r="A74" s="10" t="n">
        <v>64</v>
      </c>
      <c r="B74" s="10" t="s">
        <v>446</v>
      </c>
      <c r="C74" s="11" t="s">
        <v>447</v>
      </c>
      <c r="D74" s="12" t="s">
        <v>427</v>
      </c>
      <c r="E74" s="12" t="s">
        <v>436</v>
      </c>
      <c r="F74" s="12" t="s">
        <v>429</v>
      </c>
      <c r="G74" s="12" t="s">
        <v>448</v>
      </c>
      <c r="H74" s="10" t="n">
        <v>1</v>
      </c>
      <c r="I74" s="13" t="n">
        <v>0.12</v>
      </c>
      <c r="J74" s="13" t="n">
        <f aca="false">H74*I74</f>
        <v>0.12</v>
      </c>
      <c r="K74" s="12" t="s">
        <v>429</v>
      </c>
      <c r="L74" s="12" t="s">
        <v>27</v>
      </c>
      <c r="M74" s="12" t="s">
        <v>28</v>
      </c>
      <c r="N74" s="12" t="s">
        <v>29</v>
      </c>
      <c r="O74" s="12" t="s">
        <v>431</v>
      </c>
      <c r="P74" s="11" t="s">
        <v>449</v>
      </c>
      <c r="Q74" s="12" t="s">
        <v>32</v>
      </c>
      <c r="R74" s="11" t="s">
        <v>433</v>
      </c>
    </row>
    <row r="75" customFormat="false" ht="22.35" hidden="false" customHeight="false" outlineLevel="0" collapsed="false">
      <c r="A75" s="6" t="n">
        <v>65</v>
      </c>
      <c r="B75" s="6" t="s">
        <v>450</v>
      </c>
      <c r="C75" s="7" t="s">
        <v>451</v>
      </c>
      <c r="D75" s="8" t="s">
        <v>452</v>
      </c>
      <c r="E75" s="8" t="s">
        <v>453</v>
      </c>
      <c r="F75" s="8" t="s">
        <v>454</v>
      </c>
      <c r="G75" s="8" t="s">
        <v>455</v>
      </c>
      <c r="H75" s="6" t="n">
        <v>2</v>
      </c>
      <c r="I75" s="9" t="n">
        <v>0.15</v>
      </c>
      <c r="J75" s="9" t="n">
        <f aca="false">H75*I75</f>
        <v>0.3</v>
      </c>
      <c r="K75" s="8" t="s">
        <v>454</v>
      </c>
      <c r="L75" s="8" t="s">
        <v>27</v>
      </c>
      <c r="M75" s="8" t="s">
        <v>28</v>
      </c>
      <c r="N75" s="8" t="s">
        <v>29</v>
      </c>
      <c r="O75" s="8" t="s">
        <v>456</v>
      </c>
      <c r="P75" s="7" t="s">
        <v>457</v>
      </c>
      <c r="Q75" s="8" t="s">
        <v>32</v>
      </c>
      <c r="R75" s="7" t="s">
        <v>458</v>
      </c>
    </row>
    <row r="76" customFormat="false" ht="18" hidden="false" customHeight="true" outlineLevel="0" collapsed="false">
      <c r="A76" s="5" t="s">
        <v>459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customFormat="false" ht="22.35" hidden="false" customHeight="false" outlineLevel="0" collapsed="false">
      <c r="A77" s="10" t="n">
        <v>66</v>
      </c>
      <c r="B77" s="10" t="s">
        <v>460</v>
      </c>
      <c r="C77" s="11" t="s">
        <v>461</v>
      </c>
      <c r="D77" s="12" t="s">
        <v>462</v>
      </c>
      <c r="E77" s="12" t="s">
        <v>463</v>
      </c>
      <c r="F77" s="12" t="s">
        <v>464</v>
      </c>
      <c r="G77" s="12" t="s">
        <v>465</v>
      </c>
      <c r="H77" s="10" t="n">
        <v>1</v>
      </c>
      <c r="I77" s="13" t="n">
        <v>2.85</v>
      </c>
      <c r="J77" s="13" t="n">
        <f aca="false">H77*I77</f>
        <v>2.85</v>
      </c>
      <c r="K77" s="12" t="s">
        <v>464</v>
      </c>
      <c r="L77" s="12" t="s">
        <v>27</v>
      </c>
      <c r="M77" s="12" t="s">
        <v>28</v>
      </c>
      <c r="N77" s="12" t="s">
        <v>29</v>
      </c>
      <c r="O77" s="12" t="s">
        <v>466</v>
      </c>
      <c r="P77" s="11" t="s">
        <v>467</v>
      </c>
      <c r="Q77" s="12" t="s">
        <v>32</v>
      </c>
      <c r="R77" s="11" t="s">
        <v>468</v>
      </c>
    </row>
    <row r="78" customFormat="false" ht="22.35" hidden="false" customHeight="false" outlineLevel="0" collapsed="false">
      <c r="A78" s="6" t="n">
        <v>67</v>
      </c>
      <c r="B78" s="6" t="s">
        <v>469</v>
      </c>
      <c r="C78" s="7" t="s">
        <v>470</v>
      </c>
      <c r="D78" s="8" t="s">
        <v>471</v>
      </c>
      <c r="E78" s="8" t="s">
        <v>472</v>
      </c>
      <c r="F78" s="8" t="s">
        <v>473</v>
      </c>
      <c r="G78" s="8" t="s">
        <v>474</v>
      </c>
      <c r="H78" s="6" t="n">
        <v>1</v>
      </c>
      <c r="I78" s="9" t="n">
        <v>0.75</v>
      </c>
      <c r="J78" s="9" t="n">
        <f aca="false">H78*I78</f>
        <v>0.75</v>
      </c>
      <c r="K78" s="8" t="s">
        <v>473</v>
      </c>
      <c r="L78" s="8" t="s">
        <v>27</v>
      </c>
      <c r="M78" s="8" t="s">
        <v>28</v>
      </c>
      <c r="N78" s="8" t="s">
        <v>29</v>
      </c>
      <c r="O78" s="8" t="s">
        <v>466</v>
      </c>
      <c r="P78" s="7" t="s">
        <v>475</v>
      </c>
      <c r="Q78" s="8" t="s">
        <v>32</v>
      </c>
      <c r="R78" s="7" t="s">
        <v>476</v>
      </c>
    </row>
    <row r="79" customFormat="false" ht="18" hidden="false" customHeight="true" outlineLevel="0" collapsed="false">
      <c r="A79" s="5" t="s">
        <v>477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customFormat="false" ht="15" hidden="false" customHeight="false" outlineLevel="0" collapsed="false">
      <c r="A80" s="10" t="n">
        <v>68</v>
      </c>
      <c r="B80" s="10" t="s">
        <v>478</v>
      </c>
      <c r="C80" s="11" t="s">
        <v>479</v>
      </c>
      <c r="D80" s="12" t="s">
        <v>480</v>
      </c>
      <c r="E80" s="12" t="s">
        <v>481</v>
      </c>
      <c r="F80" s="12" t="s">
        <v>482</v>
      </c>
      <c r="G80" s="12" t="s">
        <v>483</v>
      </c>
      <c r="H80" s="10" t="n">
        <v>1</v>
      </c>
      <c r="I80" s="13" t="n">
        <v>0.35</v>
      </c>
      <c r="J80" s="13" t="n">
        <f aca="false">H80*I80</f>
        <v>0.35</v>
      </c>
      <c r="K80" s="12" t="s">
        <v>482</v>
      </c>
      <c r="L80" s="12" t="s">
        <v>27</v>
      </c>
      <c r="M80" s="12" t="s">
        <v>28</v>
      </c>
      <c r="N80" s="12" t="s">
        <v>29</v>
      </c>
      <c r="O80" s="12" t="s">
        <v>484</v>
      </c>
      <c r="P80" s="11" t="s">
        <v>485</v>
      </c>
      <c r="Q80" s="12" t="s">
        <v>32</v>
      </c>
      <c r="R80" s="11" t="s">
        <v>486</v>
      </c>
    </row>
    <row r="81" customFormat="false" ht="15" hidden="false" customHeight="false" outlineLevel="0" collapsed="false">
      <c r="A81" s="6" t="n">
        <v>69</v>
      </c>
      <c r="B81" s="6" t="s">
        <v>487</v>
      </c>
      <c r="C81" s="7" t="s">
        <v>488</v>
      </c>
      <c r="D81" s="8" t="s">
        <v>452</v>
      </c>
      <c r="E81" s="8" t="s">
        <v>489</v>
      </c>
      <c r="F81" s="8" t="s">
        <v>482</v>
      </c>
      <c r="G81" s="8" t="s">
        <v>490</v>
      </c>
      <c r="H81" s="6" t="n">
        <v>1</v>
      </c>
      <c r="I81" s="9" t="n">
        <v>0.35</v>
      </c>
      <c r="J81" s="9" t="n">
        <f aca="false">H81*I81</f>
        <v>0.35</v>
      </c>
      <c r="K81" s="8" t="s">
        <v>482</v>
      </c>
      <c r="L81" s="8" t="s">
        <v>27</v>
      </c>
      <c r="M81" s="8" t="s">
        <v>28</v>
      </c>
      <c r="N81" s="8" t="s">
        <v>29</v>
      </c>
      <c r="O81" s="8" t="s">
        <v>484</v>
      </c>
      <c r="P81" s="7" t="s">
        <v>491</v>
      </c>
      <c r="Q81" s="8" t="s">
        <v>32</v>
      </c>
      <c r="R81" s="7" t="s">
        <v>492</v>
      </c>
    </row>
    <row r="82" customFormat="false" ht="15" hidden="false" customHeight="false" outlineLevel="0" collapsed="false">
      <c r="A82" s="10" t="n">
        <v>70</v>
      </c>
      <c r="B82" s="10" t="s">
        <v>493</v>
      </c>
      <c r="C82" s="11" t="s">
        <v>494</v>
      </c>
      <c r="D82" s="12" t="s">
        <v>495</v>
      </c>
      <c r="E82" s="12" t="s">
        <v>496</v>
      </c>
      <c r="F82" s="12" t="s">
        <v>497</v>
      </c>
      <c r="G82" s="12" t="s">
        <v>498</v>
      </c>
      <c r="H82" s="10" t="n">
        <v>1</v>
      </c>
      <c r="I82" s="13" t="n">
        <v>0.28</v>
      </c>
      <c r="J82" s="13" t="n">
        <f aca="false">H82*I82</f>
        <v>0.28</v>
      </c>
      <c r="K82" s="12" t="s">
        <v>497</v>
      </c>
      <c r="L82" s="12" t="s">
        <v>27</v>
      </c>
      <c r="M82" s="12" t="s">
        <v>28</v>
      </c>
      <c r="N82" s="12" t="s">
        <v>29</v>
      </c>
      <c r="O82" s="12" t="s">
        <v>499</v>
      </c>
      <c r="P82" s="11" t="s">
        <v>500</v>
      </c>
      <c r="Q82" s="12" t="s">
        <v>32</v>
      </c>
      <c r="R82" s="11" t="s">
        <v>501</v>
      </c>
    </row>
    <row r="83" customFormat="false" ht="19.5" hidden="false" customHeight="true" outlineLevel="0" collapsed="false">
      <c r="A83" s="14" t="s">
        <v>502</v>
      </c>
      <c r="B83" s="14"/>
      <c r="C83" s="14"/>
      <c r="D83" s="14"/>
      <c r="E83" s="14"/>
      <c r="F83" s="14"/>
      <c r="G83" s="14"/>
      <c r="H83" s="15" t="n">
        <f aca="false">SUM(H4:H82)</f>
        <v>142</v>
      </c>
      <c r="I83" s="16"/>
      <c r="J83" s="17" t="n">
        <f aca="false">SUM(J4:J82)</f>
        <v>66.19</v>
      </c>
    </row>
  </sheetData>
  <autoFilter ref="A3:R83"/>
  <mergeCells count="12">
    <mergeCell ref="A1:R1"/>
    <mergeCell ref="A2:R2"/>
    <mergeCell ref="A4:R4"/>
    <mergeCell ref="A16:R16"/>
    <mergeCell ref="A27:R27"/>
    <mergeCell ref="A45:R45"/>
    <mergeCell ref="A58:R58"/>
    <mergeCell ref="A62:R62"/>
    <mergeCell ref="A69:R69"/>
    <mergeCell ref="A76:R76"/>
    <mergeCell ref="A79:R79"/>
    <mergeCell ref="A83:G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E34"/>
    <pageSetUpPr fitToPage="false"/>
  </sheetPr>
  <dimension ref="A1:K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6" activePane="bottomLeft" state="frozen"/>
      <selection pane="topLeft" activeCell="A1" activeCellId="0" sqref="A1"/>
      <selection pane="bottomLeft" activeCell="F18" activeCellId="0" sqref="F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1" min="2" style="1" width="14"/>
  </cols>
  <sheetData>
    <row r="1" customFormat="false" ht="30" hidden="false" customHeight="true" outlineLevel="0" collapsed="false">
      <c r="A1" s="18" t="s">
        <v>503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15.75" hidden="false" customHeight="true" outlineLevel="0" collapsed="false">
      <c r="A2" s="19" t="s">
        <v>504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customFormat="false" ht="18" hidden="false" customHeight="true" outlineLevel="0" collapsed="false">
      <c r="A3" s="20" t="s">
        <v>505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customFormat="false" ht="15" hidden="false" customHeight="false" outlineLevel="0" collapsed="false">
      <c r="A4" s="21" t="s">
        <v>506</v>
      </c>
      <c r="B4" s="22" t="n">
        <v>3000</v>
      </c>
      <c r="C4" s="23" t="s">
        <v>507</v>
      </c>
      <c r="D4" s="24"/>
      <c r="E4" s="24"/>
      <c r="F4" s="24"/>
      <c r="G4" s="24"/>
      <c r="H4" s="24"/>
      <c r="I4" s="24"/>
      <c r="J4" s="24"/>
      <c r="K4" s="24"/>
    </row>
    <row r="5" customFormat="false" ht="15" hidden="false" customHeight="false" outlineLevel="0" collapsed="false">
      <c r="A5" s="21" t="s">
        <v>508</v>
      </c>
      <c r="B5" s="22" t="n">
        <v>3.7</v>
      </c>
      <c r="C5" s="23" t="s">
        <v>509</v>
      </c>
      <c r="D5" s="24"/>
      <c r="E5" s="24"/>
      <c r="F5" s="24"/>
      <c r="G5" s="24"/>
      <c r="H5" s="24"/>
      <c r="I5" s="24"/>
      <c r="J5" s="24"/>
      <c r="K5" s="24"/>
    </row>
    <row r="6" customFormat="false" ht="15" hidden="false" customHeight="false" outlineLevel="0" collapsed="false">
      <c r="A6" s="21" t="s">
        <v>510</v>
      </c>
      <c r="B6" s="22" t="n">
        <v>3.3</v>
      </c>
      <c r="C6" s="23" t="s">
        <v>509</v>
      </c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21" t="s">
        <v>511</v>
      </c>
      <c r="B7" s="25" t="n">
        <v>0.88</v>
      </c>
      <c r="C7" s="23" t="s">
        <v>512</v>
      </c>
      <c r="D7" s="24"/>
      <c r="E7" s="24"/>
      <c r="F7" s="24"/>
      <c r="G7" s="24"/>
      <c r="H7" s="24"/>
      <c r="I7" s="24"/>
      <c r="J7" s="24"/>
      <c r="K7" s="24"/>
    </row>
    <row r="8" customFormat="false" ht="15" hidden="false" customHeight="false" outlineLevel="0" collapsed="false">
      <c r="A8" s="21" t="s">
        <v>513</v>
      </c>
      <c r="B8" s="25" t="n">
        <v>0.9</v>
      </c>
      <c r="C8" s="23" t="s">
        <v>514</v>
      </c>
      <c r="D8" s="24"/>
      <c r="E8" s="24"/>
      <c r="F8" s="24"/>
      <c r="G8" s="24"/>
      <c r="H8" s="24"/>
      <c r="I8" s="24"/>
      <c r="J8" s="24"/>
      <c r="K8" s="24"/>
    </row>
    <row r="9" customFormat="false" ht="15" hidden="false" customHeight="false" outlineLevel="0" collapsed="false">
      <c r="A9" s="21" t="s">
        <v>515</v>
      </c>
      <c r="B9" s="25" t="n">
        <v>0.88</v>
      </c>
      <c r="C9" s="23" t="s">
        <v>516</v>
      </c>
      <c r="D9" s="24"/>
      <c r="E9" s="24"/>
      <c r="F9" s="24"/>
      <c r="G9" s="24"/>
      <c r="H9" s="24"/>
      <c r="I9" s="24"/>
      <c r="J9" s="24"/>
      <c r="K9" s="24"/>
    </row>
    <row r="10" customFormat="false" ht="15" hidden="false" customHeight="false" outlineLevel="0" collapsed="false">
      <c r="A10" s="21" t="s">
        <v>517</v>
      </c>
      <c r="B10" s="25" t="n">
        <v>0.03</v>
      </c>
      <c r="C10" s="23" t="s">
        <v>518</v>
      </c>
      <c r="D10" s="24"/>
      <c r="E10" s="24"/>
      <c r="F10" s="24"/>
      <c r="G10" s="24"/>
      <c r="H10" s="24"/>
      <c r="I10" s="24"/>
      <c r="J10" s="24"/>
      <c r="K10" s="24"/>
    </row>
    <row r="11" customFormat="false" ht="15" hidden="false" customHeight="false" outlineLevel="0" collapsed="false">
      <c r="A11" s="21" t="s">
        <v>519</v>
      </c>
      <c r="B11" s="25" t="n">
        <v>0.85</v>
      </c>
      <c r="C11" s="23" t="s">
        <v>520</v>
      </c>
      <c r="D11" s="24"/>
      <c r="E11" s="24"/>
      <c r="F11" s="24"/>
      <c r="G11" s="24"/>
      <c r="H11" s="24"/>
      <c r="I11" s="24"/>
      <c r="J11" s="24"/>
      <c r="K11" s="24"/>
    </row>
    <row r="13" customFormat="false" ht="15" hidden="false" customHeight="false" outlineLevel="0" collapsed="false">
      <c r="A13" s="26" t="s">
        <v>521</v>
      </c>
      <c r="B13" s="27" t="n">
        <f aca="false">B4*B8*B9</f>
        <v>2376</v>
      </c>
      <c r="C13" s="28" t="s">
        <v>522</v>
      </c>
    </row>
    <row r="15" customFormat="false" ht="18" hidden="false" customHeight="true" outlineLevel="0" collapsed="false">
      <c r="A15" s="20" t="s">
        <v>523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customFormat="false" ht="36" hidden="false" customHeight="true" outlineLevel="0" collapsed="false">
      <c r="A16" s="29" t="s">
        <v>524</v>
      </c>
      <c r="B16" s="29" t="s">
        <v>525</v>
      </c>
      <c r="C16" s="29" t="s">
        <v>526</v>
      </c>
      <c r="D16" s="29" t="s">
        <v>527</v>
      </c>
      <c r="E16" s="29" t="s">
        <v>528</v>
      </c>
      <c r="F16" s="29" t="s">
        <v>529</v>
      </c>
      <c r="G16" s="29" t="s">
        <v>530</v>
      </c>
      <c r="H16" s="29" t="s">
        <v>531</v>
      </c>
      <c r="I16" s="29" t="s">
        <v>532</v>
      </c>
      <c r="J16" s="29" t="s">
        <v>533</v>
      </c>
      <c r="K16" s="29" t="s">
        <v>534</v>
      </c>
    </row>
    <row r="17" customFormat="false" ht="28.35" hidden="false" customHeight="false" outlineLevel="0" collapsed="false">
      <c r="A17" s="30" t="s">
        <v>535</v>
      </c>
      <c r="B17" s="31" t="n">
        <v>2.5</v>
      </c>
      <c r="C17" s="31" t="n">
        <v>4800</v>
      </c>
      <c r="D17" s="31" t="n">
        <v>15</v>
      </c>
      <c r="E17" s="31" t="n">
        <v>15</v>
      </c>
      <c r="F17" s="31" t="n">
        <v>12</v>
      </c>
      <c r="G17" s="31" t="n">
        <v>10</v>
      </c>
      <c r="H17" s="31" t="n">
        <v>7</v>
      </c>
      <c r="I17" s="31" t="n">
        <v>8</v>
      </c>
      <c r="J17" s="31" t="n">
        <v>5000</v>
      </c>
      <c r="K17" s="32" t="s">
        <v>536</v>
      </c>
    </row>
    <row r="18" customFormat="false" ht="19.4" hidden="false" customHeight="false" outlineLevel="0" collapsed="false">
      <c r="A18" s="33" t="s">
        <v>537</v>
      </c>
      <c r="B18" s="34" t="n">
        <v>0.9</v>
      </c>
      <c r="C18" s="34" t="n">
        <v>700</v>
      </c>
      <c r="D18" s="34" t="n">
        <v>120</v>
      </c>
      <c r="E18" s="34" t="n">
        <v>120</v>
      </c>
      <c r="F18" s="34" t="n">
        <v>5.5</v>
      </c>
      <c r="G18" s="34" t="n">
        <v>0.01</v>
      </c>
      <c r="H18" s="34" t="n">
        <v>0.01</v>
      </c>
      <c r="I18" s="34" t="n">
        <v>0.01</v>
      </c>
      <c r="J18" s="34" t="n">
        <v>1</v>
      </c>
      <c r="K18" s="35" t="s">
        <v>538</v>
      </c>
    </row>
    <row r="19" customFormat="false" ht="37.3" hidden="false" customHeight="false" outlineLevel="0" collapsed="false">
      <c r="A19" s="30" t="s">
        <v>539</v>
      </c>
      <c r="B19" s="31" t="n">
        <v>0</v>
      </c>
      <c r="C19" s="31" t="n">
        <v>100</v>
      </c>
      <c r="D19" s="31" t="n">
        <v>0</v>
      </c>
      <c r="E19" s="31" t="n">
        <v>200</v>
      </c>
      <c r="F19" s="31" t="n">
        <v>2</v>
      </c>
      <c r="G19" s="31" t="n">
        <v>0</v>
      </c>
      <c r="H19" s="31" t="n">
        <v>0</v>
      </c>
      <c r="I19" s="31" t="n">
        <v>0</v>
      </c>
      <c r="J19" s="31" t="n">
        <v>0</v>
      </c>
      <c r="K19" s="32" t="s">
        <v>540</v>
      </c>
    </row>
    <row r="20" customFormat="false" ht="19.4" hidden="false" customHeight="false" outlineLevel="0" collapsed="false">
      <c r="A20" s="33" t="s">
        <v>541</v>
      </c>
      <c r="B20" s="34" t="n">
        <v>15</v>
      </c>
      <c r="C20" s="34" t="n">
        <v>15000</v>
      </c>
      <c r="D20" s="34" t="n">
        <v>0.02</v>
      </c>
      <c r="E20" s="34" t="n">
        <v>0.02</v>
      </c>
      <c r="F20" s="34" t="n">
        <v>0.02</v>
      </c>
      <c r="G20" s="34" t="n">
        <v>20000</v>
      </c>
      <c r="H20" s="34" t="n">
        <v>0.02</v>
      </c>
      <c r="I20" s="34" t="n">
        <v>0.02</v>
      </c>
      <c r="J20" s="34" t="n">
        <v>20</v>
      </c>
      <c r="K20" s="35" t="s">
        <v>542</v>
      </c>
    </row>
    <row r="21" customFormat="false" ht="19.4" hidden="false" customHeight="false" outlineLevel="0" collapsed="false">
      <c r="A21" s="30" t="s">
        <v>543</v>
      </c>
      <c r="B21" s="31" t="n">
        <v>3</v>
      </c>
      <c r="C21" s="31" t="n">
        <v>550</v>
      </c>
      <c r="D21" s="31" t="n">
        <v>550</v>
      </c>
      <c r="E21" s="31" t="n">
        <v>550</v>
      </c>
      <c r="F21" s="31" t="n">
        <v>550</v>
      </c>
      <c r="G21" s="31" t="n">
        <v>550</v>
      </c>
      <c r="H21" s="31" t="n">
        <v>550</v>
      </c>
      <c r="I21" s="31" t="n">
        <v>550</v>
      </c>
      <c r="J21" s="31" t="n">
        <v>550</v>
      </c>
      <c r="K21" s="32" t="s">
        <v>544</v>
      </c>
    </row>
    <row r="22" customFormat="false" ht="28.35" hidden="false" customHeight="false" outlineLevel="0" collapsed="false">
      <c r="A22" s="33" t="s">
        <v>545</v>
      </c>
      <c r="B22" s="34" t="n">
        <v>1.5</v>
      </c>
      <c r="C22" s="34" t="n">
        <v>70</v>
      </c>
      <c r="D22" s="34" t="n">
        <v>70</v>
      </c>
      <c r="E22" s="34" t="n">
        <v>70</v>
      </c>
      <c r="F22" s="34" t="n">
        <v>70</v>
      </c>
      <c r="G22" s="34" t="n">
        <v>70</v>
      </c>
      <c r="H22" s="34" t="n">
        <v>70</v>
      </c>
      <c r="I22" s="34" t="n">
        <v>70</v>
      </c>
      <c r="J22" s="34" t="n">
        <v>70</v>
      </c>
      <c r="K22" s="35" t="s">
        <v>546</v>
      </c>
    </row>
    <row r="23" customFormat="false" ht="28.35" hidden="false" customHeight="false" outlineLevel="0" collapsed="false">
      <c r="A23" s="30" t="s">
        <v>547</v>
      </c>
      <c r="B23" s="31" t="n">
        <v>0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0</v>
      </c>
      <c r="H23" s="31" t="n">
        <v>0</v>
      </c>
      <c r="I23" s="31" t="n">
        <v>0</v>
      </c>
      <c r="J23" s="31" t="n">
        <v>0</v>
      </c>
      <c r="K23" s="32" t="s">
        <v>548</v>
      </c>
    </row>
    <row r="24" customFormat="false" ht="19.4" hidden="false" customHeight="false" outlineLevel="0" collapsed="false">
      <c r="A24" s="33" t="s">
        <v>549</v>
      </c>
      <c r="B24" s="34" t="n">
        <v>0.36</v>
      </c>
      <c r="C24" s="34" t="n">
        <v>360</v>
      </c>
      <c r="D24" s="34" t="n">
        <v>1000</v>
      </c>
      <c r="E24" s="34" t="n">
        <v>1100</v>
      </c>
      <c r="F24" s="34" t="n">
        <v>600</v>
      </c>
      <c r="G24" s="34" t="n">
        <v>800</v>
      </c>
      <c r="H24" s="34" t="n">
        <v>500</v>
      </c>
      <c r="I24" s="34" t="n">
        <v>550</v>
      </c>
      <c r="J24" s="34" t="n">
        <v>400</v>
      </c>
      <c r="K24" s="35" t="s">
        <v>550</v>
      </c>
    </row>
    <row r="25" customFormat="false" ht="19.4" hidden="false" customHeight="false" outlineLevel="0" collapsed="false">
      <c r="A25" s="30" t="s">
        <v>551</v>
      </c>
      <c r="B25" s="31" t="n">
        <v>0.07</v>
      </c>
      <c r="C25" s="31" t="n">
        <v>70</v>
      </c>
      <c r="D25" s="31" t="n">
        <v>200</v>
      </c>
      <c r="E25" s="31" t="n">
        <v>200</v>
      </c>
      <c r="F25" s="31" t="n">
        <v>150</v>
      </c>
      <c r="G25" s="31" t="n">
        <v>200</v>
      </c>
      <c r="H25" s="31" t="n">
        <v>100</v>
      </c>
      <c r="I25" s="31" t="n">
        <v>100</v>
      </c>
      <c r="J25" s="31" t="n">
        <v>100</v>
      </c>
      <c r="K25" s="32" t="s">
        <v>552</v>
      </c>
    </row>
    <row r="26" customFormat="false" ht="28.35" hidden="false" customHeight="false" outlineLevel="0" collapsed="false">
      <c r="A26" s="33" t="s">
        <v>553</v>
      </c>
      <c r="B26" s="34" t="n">
        <v>0</v>
      </c>
      <c r="C26" s="34" t="n">
        <v>0</v>
      </c>
      <c r="D26" s="34" t="n">
        <v>7000</v>
      </c>
      <c r="E26" s="34" t="n">
        <v>7000</v>
      </c>
      <c r="F26" s="34" t="n">
        <v>7000</v>
      </c>
      <c r="G26" s="34" t="n">
        <v>7000</v>
      </c>
      <c r="H26" s="34" t="n">
        <v>7000</v>
      </c>
      <c r="I26" s="34" t="n">
        <v>7000</v>
      </c>
      <c r="J26" s="34" t="n">
        <v>7000</v>
      </c>
      <c r="K26" s="35" t="s">
        <v>554</v>
      </c>
    </row>
    <row r="27" customFormat="false" ht="19.4" hidden="false" customHeight="false" outlineLevel="0" collapsed="false">
      <c r="A27" s="30" t="s">
        <v>555</v>
      </c>
      <c r="B27" s="31" t="n">
        <v>0</v>
      </c>
      <c r="C27" s="31" t="n">
        <v>10</v>
      </c>
      <c r="D27" s="31" t="n">
        <v>50</v>
      </c>
      <c r="E27" s="31" t="n">
        <v>50</v>
      </c>
      <c r="F27" s="31" t="n">
        <v>20</v>
      </c>
      <c r="G27" s="31" t="n">
        <v>0</v>
      </c>
      <c r="H27" s="31" t="n">
        <v>0</v>
      </c>
      <c r="I27" s="31" t="n">
        <v>0</v>
      </c>
      <c r="J27" s="31" t="n">
        <v>0</v>
      </c>
      <c r="K27" s="32" t="s">
        <v>556</v>
      </c>
    </row>
    <row r="28" customFormat="false" ht="19.4" hidden="false" customHeight="false" outlineLevel="0" collapsed="false">
      <c r="A28" s="33" t="s">
        <v>557</v>
      </c>
      <c r="B28" s="34" t="n">
        <v>1</v>
      </c>
      <c r="C28" s="34" t="n">
        <v>500</v>
      </c>
      <c r="D28" s="34" t="n">
        <v>500</v>
      </c>
      <c r="E28" s="34" t="n">
        <v>500</v>
      </c>
      <c r="F28" s="34" t="n">
        <v>500</v>
      </c>
      <c r="G28" s="34" t="n">
        <v>500</v>
      </c>
      <c r="H28" s="34" t="n">
        <v>500</v>
      </c>
      <c r="I28" s="34" t="n">
        <v>500</v>
      </c>
      <c r="J28" s="34" t="n">
        <v>500</v>
      </c>
      <c r="K28" s="35" t="s">
        <v>558</v>
      </c>
    </row>
    <row r="29" customFormat="false" ht="18" hidden="false" customHeight="true" outlineLevel="0" collapsed="false">
      <c r="A29" s="5" t="s">
        <v>559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 customFormat="false" ht="15" hidden="false" customHeight="false" outlineLevel="0" collapsed="false">
      <c r="A30" s="36" t="s">
        <v>560</v>
      </c>
      <c r="B30" s="37" t="n">
        <f aca="false">SUM(B17:B28)</f>
        <v>24.33</v>
      </c>
      <c r="C30" s="37" t="n">
        <f aca="false">SUM(C17:C28)</f>
        <v>22160</v>
      </c>
      <c r="D30" s="37" t="n">
        <f aca="false">SUM(D17:D28)</f>
        <v>9505.02</v>
      </c>
      <c r="E30" s="37" t="n">
        <f aca="false">SUM(E17:E28)</f>
        <v>9805.02</v>
      </c>
      <c r="F30" s="37" t="n">
        <f aca="false">SUM(F17:F28)</f>
        <v>8909.52</v>
      </c>
      <c r="G30" s="37" t="n">
        <f aca="false">SUM(G17:G28)</f>
        <v>29130.01</v>
      </c>
      <c r="H30" s="37" t="n">
        <f aca="false">SUM(H17:H28)</f>
        <v>8727.03</v>
      </c>
      <c r="I30" s="37" t="n">
        <f aca="false">SUM(I17:I28)</f>
        <v>8778.03</v>
      </c>
      <c r="J30" s="38" t="s">
        <v>561</v>
      </c>
    </row>
    <row r="32" customFormat="false" ht="18" hidden="false" customHeight="true" outlineLevel="0" collapsed="false">
      <c r="A32" s="20" t="s">
        <v>562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 customFormat="false" ht="27.75" hidden="false" customHeight="true" outlineLevel="0" collapsed="false">
      <c r="A33" s="29" t="s">
        <v>563</v>
      </c>
      <c r="B33" s="29" t="s">
        <v>564</v>
      </c>
      <c r="C33" s="29" t="s">
        <v>565</v>
      </c>
      <c r="D33" s="29" t="s">
        <v>566</v>
      </c>
      <c r="E33" s="29" t="s">
        <v>567</v>
      </c>
      <c r="F33" s="29" t="s">
        <v>534</v>
      </c>
    </row>
    <row r="34" customFormat="false" ht="15" hidden="false" customHeight="false" outlineLevel="0" collapsed="false">
      <c r="A34" s="30" t="s">
        <v>568</v>
      </c>
      <c r="B34" s="39" t="n">
        <v>0.9</v>
      </c>
      <c r="C34" s="40" t="n">
        <f aca="false">B30/1000</f>
        <v>0.02433</v>
      </c>
      <c r="D34" s="30" t="s">
        <v>569</v>
      </c>
      <c r="E34" s="40" t="n">
        <f aca="false">B34*C34</f>
        <v>0.021897</v>
      </c>
      <c r="F34" s="30" t="s">
        <v>570</v>
      </c>
    </row>
    <row r="35" customFormat="false" ht="15" hidden="false" customHeight="false" outlineLevel="0" collapsed="false">
      <c r="A35" s="33" t="s">
        <v>571</v>
      </c>
      <c r="B35" s="41" t="n">
        <v>0.05</v>
      </c>
      <c r="C35" s="42" t="n">
        <f aca="false">C30/1000</f>
        <v>22.16</v>
      </c>
      <c r="D35" s="33" t="s">
        <v>569</v>
      </c>
      <c r="E35" s="42" t="n">
        <f aca="false">B35*C35</f>
        <v>1.108</v>
      </c>
      <c r="F35" s="33" t="s">
        <v>572</v>
      </c>
    </row>
    <row r="36" customFormat="false" ht="15" hidden="false" customHeight="false" outlineLevel="0" collapsed="false">
      <c r="A36" s="30" t="s">
        <v>573</v>
      </c>
      <c r="B36" s="39" t="n">
        <v>0.005</v>
      </c>
      <c r="C36" s="40" t="n">
        <f aca="false">D30</f>
        <v>9505.02</v>
      </c>
      <c r="D36" s="30" t="s">
        <v>574</v>
      </c>
      <c r="E36" s="40" t="n">
        <f aca="false">B36*C36</f>
        <v>47.5251</v>
      </c>
      <c r="F36" s="30" t="s">
        <v>575</v>
      </c>
    </row>
    <row r="37" customFormat="false" ht="15" hidden="false" customHeight="false" outlineLevel="0" collapsed="false">
      <c r="A37" s="33" t="s">
        <v>576</v>
      </c>
      <c r="B37" s="41" t="n">
        <v>0.003</v>
      </c>
      <c r="C37" s="42" t="n">
        <f aca="false">E30</f>
        <v>9805.02</v>
      </c>
      <c r="D37" s="33" t="s">
        <v>574</v>
      </c>
      <c r="E37" s="42" t="n">
        <f aca="false">B37*C37</f>
        <v>29.41506</v>
      </c>
      <c r="F37" s="33" t="s">
        <v>577</v>
      </c>
    </row>
    <row r="38" customFormat="false" ht="15" hidden="false" customHeight="false" outlineLevel="0" collapsed="false">
      <c r="A38" s="30" t="s">
        <v>578</v>
      </c>
      <c r="B38" s="39" t="n">
        <v>0.01</v>
      </c>
      <c r="C38" s="40" t="n">
        <f aca="false">F30</f>
        <v>8909.52</v>
      </c>
      <c r="D38" s="30" t="s">
        <v>574</v>
      </c>
      <c r="E38" s="40" t="n">
        <f aca="false">B38*C38</f>
        <v>89.0952</v>
      </c>
      <c r="F38" s="30" t="s">
        <v>579</v>
      </c>
    </row>
    <row r="39" customFormat="false" ht="15" hidden="false" customHeight="false" outlineLevel="0" collapsed="false">
      <c r="A39" s="33" t="s">
        <v>580</v>
      </c>
      <c r="B39" s="41" t="n">
        <v>0.008</v>
      </c>
      <c r="C39" s="42" t="n">
        <f aca="false">G30</f>
        <v>29130.01</v>
      </c>
      <c r="D39" s="33" t="s">
        <v>574</v>
      </c>
      <c r="E39" s="42" t="n">
        <f aca="false">B39*C39</f>
        <v>233.04008</v>
      </c>
      <c r="F39" s="33" t="s">
        <v>581</v>
      </c>
    </row>
    <row r="40" customFormat="false" ht="15" hidden="false" customHeight="false" outlineLevel="0" collapsed="false">
      <c r="A40" s="30" t="s">
        <v>582</v>
      </c>
      <c r="B40" s="39" t="n">
        <v>0.01</v>
      </c>
      <c r="C40" s="40" t="n">
        <f aca="false">I30</f>
        <v>8778.03</v>
      </c>
      <c r="D40" s="30" t="s">
        <v>574</v>
      </c>
      <c r="E40" s="40" t="n">
        <f aca="false">B40*C40</f>
        <v>87.7803</v>
      </c>
      <c r="F40" s="30" t="s">
        <v>583</v>
      </c>
    </row>
    <row r="41" customFormat="false" ht="15" hidden="false" customHeight="false" outlineLevel="0" collapsed="false">
      <c r="A41" s="33" t="s">
        <v>584</v>
      </c>
      <c r="B41" s="41" t="n">
        <v>0.014</v>
      </c>
      <c r="C41" s="42" t="n">
        <f aca="false">0.55</f>
        <v>0.55</v>
      </c>
      <c r="D41" s="33" t="s">
        <v>574</v>
      </c>
      <c r="E41" s="42" t="n">
        <f aca="false">B41*C41</f>
        <v>0.0077</v>
      </c>
      <c r="F41" s="33" t="s">
        <v>585</v>
      </c>
    </row>
    <row r="42" customFormat="false" ht="15" hidden="false" customHeight="false" outlineLevel="0" collapsed="false">
      <c r="A42" s="36" t="s">
        <v>586</v>
      </c>
      <c r="B42" s="43" t="n">
        <f aca="false">SUM(B34:B41)</f>
        <v>1</v>
      </c>
      <c r="D42" s="36" t="s">
        <v>587</v>
      </c>
      <c r="E42" s="44" t="n">
        <f aca="false">SUM(E34:E41)</f>
        <v>487.993337</v>
      </c>
      <c r="F42" s="28" t="s">
        <v>588</v>
      </c>
    </row>
    <row r="44" customFormat="false" ht="18" hidden="false" customHeight="true" outlineLevel="0" collapsed="false">
      <c r="A44" s="20" t="s">
        <v>589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customFormat="false" ht="27.75" hidden="false" customHeight="true" outlineLevel="0" collapsed="false">
      <c r="A45" s="29" t="s">
        <v>590</v>
      </c>
      <c r="B45" s="29" t="s">
        <v>591</v>
      </c>
      <c r="C45" s="29" t="s">
        <v>592</v>
      </c>
      <c r="D45" s="29" t="s">
        <v>593</v>
      </c>
      <c r="E45" s="29" t="s">
        <v>594</v>
      </c>
      <c r="F45" s="29" t="s">
        <v>595</v>
      </c>
      <c r="G45" s="29" t="s">
        <v>596</v>
      </c>
      <c r="H45" s="29" t="s">
        <v>597</v>
      </c>
    </row>
    <row r="46" customFormat="false" ht="15" hidden="false" customHeight="false" outlineLevel="0" collapsed="false">
      <c r="A46" s="10" t="s">
        <v>598</v>
      </c>
      <c r="B46" s="45" t="n">
        <f aca="false">2500*B8*B9</f>
        <v>1980</v>
      </c>
      <c r="C46" s="45" t="n">
        <f aca="false">E42</f>
        <v>487.993337</v>
      </c>
      <c r="D46" s="46" t="n">
        <f aca="false">(2500*B8*B9)/E42</f>
        <v>4.05743244809918</v>
      </c>
      <c r="E46" s="46" t="n">
        <f aca="false">D46/24</f>
        <v>0.169059685337466</v>
      </c>
      <c r="F46" s="47" t="n">
        <f aca="false">E46/7</f>
        <v>0.024151383619638</v>
      </c>
      <c r="G46" s="10" t="str">
        <f aca="false">IF(E46&gt;=30,"✅ PASS","⚠️ MARGINAL")</f>
        <v>⚠️ MARGINAL</v>
      </c>
      <c r="H46" s="10" t="str">
        <f aca="false">IF(E46&gt;=45,"Excellent choice","Consider higher cap")</f>
        <v>Consider higher cap</v>
      </c>
    </row>
    <row r="47" customFormat="false" ht="15" hidden="false" customHeight="false" outlineLevel="0" collapsed="false">
      <c r="A47" s="6" t="s">
        <v>599</v>
      </c>
      <c r="B47" s="48" t="n">
        <f aca="false">2800*B8*B9</f>
        <v>2217.6</v>
      </c>
      <c r="C47" s="48" t="n">
        <f aca="false">E42</f>
        <v>487.993337</v>
      </c>
      <c r="D47" s="49" t="n">
        <f aca="false">(2800*B8*B9)/E42</f>
        <v>4.54432434187109</v>
      </c>
      <c r="E47" s="49" t="n">
        <f aca="false">D47/24</f>
        <v>0.189346847577962</v>
      </c>
      <c r="F47" s="50" t="n">
        <f aca="false">E47/7</f>
        <v>0.0270495496539946</v>
      </c>
      <c r="G47" s="6" t="str">
        <f aca="false">IF(E47&gt;=30,"✅ PASS","⚠️ MARGINAL")</f>
        <v>⚠️ MARGINAL</v>
      </c>
      <c r="H47" s="6" t="str">
        <f aca="false">IF(E47&gt;=45,"Excellent choice","Consider higher cap")</f>
        <v>Consider higher cap</v>
      </c>
    </row>
    <row r="48" customFormat="false" ht="15" hidden="false" customHeight="false" outlineLevel="0" collapsed="false">
      <c r="A48" s="51" t="s">
        <v>600</v>
      </c>
      <c r="B48" s="52" t="n">
        <f aca="false">3000*B8*B9</f>
        <v>2376</v>
      </c>
      <c r="C48" s="52" t="n">
        <f aca="false">E42</f>
        <v>487.993337</v>
      </c>
      <c r="D48" s="53" t="n">
        <f aca="false">(3000*B8*B9)/E42</f>
        <v>4.86891893771902</v>
      </c>
      <c r="E48" s="53" t="n">
        <f aca="false">D48/24</f>
        <v>0.202871622404959</v>
      </c>
      <c r="F48" s="54" t="n">
        <f aca="false">E48/7</f>
        <v>0.0289816603435656</v>
      </c>
      <c r="G48" s="51" t="str">
        <f aca="false">IF(E48&gt;=30,"✅ PASS","⚠️ MARGINAL")</f>
        <v>⚠️ MARGINAL</v>
      </c>
      <c r="H48" s="51" t="str">
        <f aca="false">IF(E48&gt;=45,"Excellent choice","Consider higher cap")</f>
        <v>Consider higher cap</v>
      </c>
    </row>
    <row r="49" customFormat="false" ht="15" hidden="false" customHeight="false" outlineLevel="0" collapsed="false">
      <c r="A49" s="6" t="s">
        <v>601</v>
      </c>
      <c r="B49" s="48" t="n">
        <f aca="false">3200*B8*B9</f>
        <v>2534.4</v>
      </c>
      <c r="C49" s="48" t="n">
        <f aca="false">E42</f>
        <v>487.993337</v>
      </c>
      <c r="D49" s="49" t="n">
        <f aca="false">(3200*B8*B9)/E42</f>
        <v>5.19351353356696</v>
      </c>
      <c r="E49" s="49" t="n">
        <f aca="false">D49/24</f>
        <v>0.216396397231956</v>
      </c>
      <c r="F49" s="50" t="n">
        <f aca="false">E49/7</f>
        <v>0.0309137710331366</v>
      </c>
      <c r="G49" s="6" t="str">
        <f aca="false">IF(E49&gt;=30,"✅ PASS","⚠️ MARGINAL")</f>
        <v>⚠️ MARGINAL</v>
      </c>
      <c r="H49" s="6" t="str">
        <f aca="false">IF(E49&gt;=45,"Excellent choice","Consider higher cap")</f>
        <v>Consider higher cap</v>
      </c>
    </row>
    <row r="50" customFormat="false" ht="15" hidden="false" customHeight="false" outlineLevel="0" collapsed="false">
      <c r="A50" s="10" t="s">
        <v>602</v>
      </c>
      <c r="B50" s="45" t="n">
        <f aca="false">3500*B8*B9</f>
        <v>2772</v>
      </c>
      <c r="C50" s="45" t="n">
        <f aca="false">E42</f>
        <v>487.993337</v>
      </c>
      <c r="D50" s="46" t="n">
        <f aca="false">(3500*B8*B9)/E42</f>
        <v>5.68040542733886</v>
      </c>
      <c r="E50" s="46" t="n">
        <f aca="false">D50/24</f>
        <v>0.236683559472452</v>
      </c>
      <c r="F50" s="47" t="n">
        <f aca="false">E50/7</f>
        <v>0.0338119370674932</v>
      </c>
      <c r="G50" s="10" t="str">
        <f aca="false">IF(E50&gt;=30,"✅ PASS","⚠️ MARGINAL")</f>
        <v>⚠️ MARGINAL</v>
      </c>
      <c r="H50" s="10" t="str">
        <f aca="false">IF(E50&gt;=45,"Excellent choice","Consider higher cap")</f>
        <v>Consider higher cap</v>
      </c>
    </row>
    <row r="53" customFormat="false" ht="18" hidden="false" customHeight="true" outlineLevel="0" collapsed="false">
      <c r="A53" s="20" t="s">
        <v>603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customFormat="false" ht="24" hidden="false" customHeight="true" outlineLevel="0" collapsed="false">
      <c r="A54" s="29" t="s">
        <v>604</v>
      </c>
      <c r="B54" s="29" t="s">
        <v>592</v>
      </c>
      <c r="C54" s="29" t="s">
        <v>605</v>
      </c>
      <c r="D54" s="29" t="s">
        <v>606</v>
      </c>
      <c r="E54" s="29" t="s">
        <v>607</v>
      </c>
      <c r="F54" s="29" t="s">
        <v>608</v>
      </c>
    </row>
    <row r="55" customFormat="false" ht="15" hidden="false" customHeight="false" outlineLevel="0" collapsed="false">
      <c r="A55" s="30" t="s">
        <v>568</v>
      </c>
      <c r="B55" s="55" t="s">
        <v>609</v>
      </c>
      <c r="C55" s="39" t="s">
        <v>610</v>
      </c>
      <c r="D55" s="56" t="n">
        <f aca="false">B34*24</f>
        <v>21.6</v>
      </c>
      <c r="E55" s="56" t="n">
        <f aca="false">C34*B34*24</f>
        <v>0.525528</v>
      </c>
      <c r="F55" s="39" t="n">
        <f aca="false">E55/SUM(E55:E62)</f>
        <v>4.48715143010242E-005</v>
      </c>
    </row>
    <row r="56" customFormat="false" ht="15" hidden="false" customHeight="false" outlineLevel="0" collapsed="false">
      <c r="A56" s="33" t="s">
        <v>571</v>
      </c>
      <c r="B56" s="57" t="s">
        <v>611</v>
      </c>
      <c r="C56" s="41" t="s">
        <v>612</v>
      </c>
      <c r="D56" s="58" t="n">
        <f aca="false">B35*24</f>
        <v>1.2</v>
      </c>
      <c r="E56" s="58" t="n">
        <f aca="false">C35*B35*24</f>
        <v>26.592</v>
      </c>
      <c r="F56" s="41" t="n">
        <f aca="false">E56/SUM(E55:E62)</f>
        <v>0.00227052280428985</v>
      </c>
    </row>
    <row r="57" customFormat="false" ht="15" hidden="false" customHeight="false" outlineLevel="0" collapsed="false">
      <c r="A57" s="30" t="s">
        <v>573</v>
      </c>
      <c r="B57" s="55" t="s">
        <v>613</v>
      </c>
      <c r="C57" s="39" t="s">
        <v>614</v>
      </c>
      <c r="D57" s="56" t="n">
        <f aca="false">B36*24</f>
        <v>0.12</v>
      </c>
      <c r="E57" s="56" t="n">
        <f aca="false">C36*B36*24</f>
        <v>1140.6024</v>
      </c>
      <c r="F57" s="39" t="n">
        <f aca="false">E57/SUM(E55:E62)</f>
        <v>0.0973888297167467</v>
      </c>
    </row>
    <row r="58" customFormat="false" ht="15" hidden="false" customHeight="false" outlineLevel="0" collapsed="false">
      <c r="A58" s="33" t="s">
        <v>576</v>
      </c>
      <c r="B58" s="57" t="s">
        <v>615</v>
      </c>
      <c r="C58" s="41" t="s">
        <v>616</v>
      </c>
      <c r="D58" s="58" t="n">
        <f aca="false">B37*24</f>
        <v>0.072</v>
      </c>
      <c r="E58" s="58" t="n">
        <f aca="false">C37*B37*24</f>
        <v>705.96144</v>
      </c>
      <c r="F58" s="41" t="n">
        <f aca="false">E58/SUM(E55:E62)</f>
        <v>0.0602775853064568</v>
      </c>
    </row>
    <row r="59" customFormat="false" ht="15" hidden="false" customHeight="false" outlineLevel="0" collapsed="false">
      <c r="A59" s="30" t="s">
        <v>578</v>
      </c>
      <c r="B59" s="55" t="s">
        <v>617</v>
      </c>
      <c r="C59" s="39" t="s">
        <v>618</v>
      </c>
      <c r="D59" s="56" t="n">
        <f aca="false">B38*24</f>
        <v>0.24</v>
      </c>
      <c r="E59" s="56" t="n">
        <f aca="false">C38*B38*24</f>
        <v>2138.2848</v>
      </c>
      <c r="F59" s="39" t="n">
        <f aca="false">E59/SUM(E55:E62)</f>
        <v>0.182574623964589</v>
      </c>
    </row>
    <row r="60" customFormat="false" ht="15" hidden="false" customHeight="false" outlineLevel="0" collapsed="false">
      <c r="A60" s="33" t="s">
        <v>580</v>
      </c>
      <c r="B60" s="57" t="s">
        <v>619</v>
      </c>
      <c r="C60" s="41" t="s">
        <v>620</v>
      </c>
      <c r="D60" s="58" t="n">
        <f aca="false">B39*24</f>
        <v>0.192</v>
      </c>
      <c r="E60" s="58" t="n">
        <f aca="false">C39*B39*24</f>
        <v>5592.96192</v>
      </c>
      <c r="F60" s="41" t="n">
        <f aca="false">E60/SUM(E55:E62)</f>
        <v>0.477547667828096</v>
      </c>
    </row>
    <row r="61" customFormat="false" ht="15" hidden="false" customHeight="false" outlineLevel="0" collapsed="false">
      <c r="A61" s="30" t="s">
        <v>582</v>
      </c>
      <c r="B61" s="55" t="s">
        <v>621</v>
      </c>
      <c r="C61" s="39" t="s">
        <v>622</v>
      </c>
      <c r="D61" s="56" t="n">
        <f aca="false">B40*24</f>
        <v>0.24</v>
      </c>
      <c r="E61" s="56" t="n">
        <f aca="false">C40*B40*24</f>
        <v>2106.7272</v>
      </c>
      <c r="F61" s="39" t="n">
        <f aca="false">E61/SUM(E55:E62)</f>
        <v>0.179880119961556</v>
      </c>
    </row>
    <row r="62" customFormat="false" ht="15" hidden="false" customHeight="false" outlineLevel="0" collapsed="false">
      <c r="A62" s="33" t="s">
        <v>584</v>
      </c>
      <c r="B62" s="57" t="s">
        <v>623</v>
      </c>
      <c r="C62" s="41" t="s">
        <v>624</v>
      </c>
      <c r="D62" s="58" t="n">
        <f aca="false">B41*24</f>
        <v>0.336</v>
      </c>
      <c r="E62" s="58" t="n">
        <f aca="false">C41*B41*24</f>
        <v>0.1848</v>
      </c>
      <c r="F62" s="41" t="n">
        <f aca="false">E62/SUM(E55:E62)</f>
        <v>1.57789039648302E-005</v>
      </c>
    </row>
  </sheetData>
  <mergeCells count="8">
    <mergeCell ref="A1:K1"/>
    <mergeCell ref="A2:K2"/>
    <mergeCell ref="A3:K3"/>
    <mergeCell ref="A15:K15"/>
    <mergeCell ref="A29:K29"/>
    <mergeCell ref="A32:K32"/>
    <mergeCell ref="A44:K44"/>
    <mergeCell ref="A53:K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4513"/>
    <pageSetUpPr fitToPage="false"/>
  </sheetPr>
  <dimension ref="A1:I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105" activeCellId="0" sqref="B10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.87"/>
    <col collapsed="false" customWidth="true" hidden="false" outlineLevel="0" max="2" min="2" style="1" width="20.16"/>
    <col collapsed="false" customWidth="true" hidden="false" outlineLevel="0" max="3" min="3" style="1" width="12"/>
    <col collapsed="false" customWidth="true" hidden="false" outlineLevel="0" max="4" min="4" style="1" width="32.45"/>
    <col collapsed="false" customWidth="true" hidden="false" outlineLevel="0" max="5" min="5" style="1" width="29.49"/>
    <col collapsed="false" customWidth="true" hidden="false" outlineLevel="0" max="6" min="6" style="1" width="19.93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28.79"/>
  </cols>
  <sheetData>
    <row r="1" customFormat="false" ht="30" hidden="false" customHeight="true" outlineLevel="0" collapsed="false">
      <c r="A1" s="59" t="s">
        <v>625</v>
      </c>
      <c r="B1" s="59"/>
      <c r="C1" s="59"/>
      <c r="D1" s="59"/>
      <c r="E1" s="59"/>
      <c r="F1" s="59"/>
      <c r="G1" s="59"/>
      <c r="H1" s="59"/>
      <c r="I1" s="59"/>
    </row>
    <row r="2" customFormat="false" ht="15.75" hidden="false" customHeight="true" outlineLevel="0" collapsed="false">
      <c r="A2" s="60" t="s">
        <v>626</v>
      </c>
      <c r="B2" s="60"/>
      <c r="C2" s="60"/>
      <c r="D2" s="60"/>
      <c r="E2" s="60"/>
      <c r="F2" s="60"/>
      <c r="G2" s="60"/>
      <c r="H2" s="60"/>
      <c r="I2" s="60"/>
    </row>
    <row r="3" customFormat="false" ht="18" hidden="false" customHeight="true" outlineLevel="0" collapsed="false">
      <c r="A3" s="61" t="s">
        <v>627</v>
      </c>
      <c r="B3" s="61"/>
      <c r="C3" s="61"/>
      <c r="D3" s="61"/>
      <c r="E3" s="61"/>
      <c r="F3" s="61"/>
      <c r="G3" s="61"/>
      <c r="H3" s="61"/>
      <c r="I3" s="61"/>
    </row>
    <row r="4" customFormat="false" ht="15" hidden="false" customHeight="false" outlineLevel="0" collapsed="false">
      <c r="A4" s="62" t="s">
        <v>628</v>
      </c>
      <c r="B4" s="63" t="n">
        <v>90</v>
      </c>
      <c r="C4" s="23" t="s">
        <v>629</v>
      </c>
      <c r="D4" s="64" t="s">
        <v>630</v>
      </c>
    </row>
    <row r="5" customFormat="false" ht="15" hidden="false" customHeight="false" outlineLevel="0" collapsed="false">
      <c r="A5" s="62" t="s">
        <v>631</v>
      </c>
      <c r="B5" s="63" t="n">
        <v>70</v>
      </c>
      <c r="C5" s="23" t="s">
        <v>629</v>
      </c>
      <c r="D5" s="64" t="s">
        <v>630</v>
      </c>
    </row>
    <row r="6" customFormat="false" ht="19.4" hidden="false" customHeight="false" outlineLevel="0" collapsed="false">
      <c r="A6" s="62" t="s">
        <v>632</v>
      </c>
      <c r="B6" s="63" t="n">
        <v>12</v>
      </c>
      <c r="C6" s="23" t="s">
        <v>629</v>
      </c>
      <c r="D6" s="64" t="s">
        <v>633</v>
      </c>
    </row>
    <row r="7" customFormat="false" ht="28.35" hidden="false" customHeight="false" outlineLevel="0" collapsed="false">
      <c r="A7" s="62" t="s">
        <v>634</v>
      </c>
      <c r="B7" s="63" t="n">
        <v>1.5</v>
      </c>
      <c r="C7" s="23" t="s">
        <v>629</v>
      </c>
      <c r="D7" s="64" t="s">
        <v>635</v>
      </c>
    </row>
    <row r="8" customFormat="false" ht="28.35" hidden="false" customHeight="false" outlineLevel="0" collapsed="false">
      <c r="A8" s="62" t="s">
        <v>636</v>
      </c>
      <c r="B8" s="65" t="n">
        <f aca="false">B4-2*B6</f>
        <v>66</v>
      </c>
      <c r="C8" s="23" t="s">
        <v>629</v>
      </c>
      <c r="D8" s="64" t="s">
        <v>637</v>
      </c>
    </row>
    <row r="9" customFormat="false" ht="28.35" hidden="false" customHeight="false" outlineLevel="0" collapsed="false">
      <c r="A9" s="62" t="s">
        <v>638</v>
      </c>
      <c r="B9" s="65" t="n">
        <f aca="false">B5-2*B6</f>
        <v>46</v>
      </c>
      <c r="C9" s="23" t="s">
        <v>629</v>
      </c>
      <c r="D9" s="64" t="s">
        <v>639</v>
      </c>
    </row>
    <row r="10" customFormat="false" ht="19.4" hidden="false" customHeight="false" outlineLevel="0" collapsed="false">
      <c r="A10" s="62" t="s">
        <v>640</v>
      </c>
      <c r="B10" s="63" t="n">
        <v>1.6</v>
      </c>
      <c r="C10" s="23" t="s">
        <v>629</v>
      </c>
      <c r="D10" s="64" t="s">
        <v>641</v>
      </c>
    </row>
    <row r="11" customFormat="false" ht="28.35" hidden="false" customHeight="false" outlineLevel="0" collapsed="false">
      <c r="A11" s="62" t="s">
        <v>642</v>
      </c>
      <c r="B11" s="63" t="n">
        <v>3.5</v>
      </c>
      <c r="C11" s="23" t="s">
        <v>629</v>
      </c>
      <c r="D11" s="64" t="s">
        <v>643</v>
      </c>
    </row>
    <row r="12" customFormat="false" ht="19.4" hidden="false" customHeight="false" outlineLevel="0" collapsed="false">
      <c r="A12" s="62" t="s">
        <v>644</v>
      </c>
      <c r="B12" s="63" t="n">
        <v>1.2</v>
      </c>
      <c r="C12" s="23" t="s">
        <v>629</v>
      </c>
      <c r="D12" s="64" t="s">
        <v>645</v>
      </c>
    </row>
    <row r="13" customFormat="false" ht="28.35" hidden="false" customHeight="false" outlineLevel="0" collapsed="false">
      <c r="A13" s="62" t="s">
        <v>646</v>
      </c>
      <c r="B13" s="63" t="n">
        <v>4.8</v>
      </c>
      <c r="C13" s="23" t="s">
        <v>629</v>
      </c>
      <c r="D13" s="64" t="s">
        <v>647</v>
      </c>
    </row>
    <row r="14" customFormat="false" ht="15" hidden="false" customHeight="false" outlineLevel="0" collapsed="false">
      <c r="A14" s="62" t="s">
        <v>648</v>
      </c>
      <c r="B14" s="63" t="n">
        <v>60</v>
      </c>
      <c r="C14" s="23" t="s">
        <v>629</v>
      </c>
      <c r="D14" s="64" t="s">
        <v>649</v>
      </c>
    </row>
    <row r="15" customFormat="false" ht="15" hidden="false" customHeight="false" outlineLevel="0" collapsed="false">
      <c r="A15" s="62" t="s">
        <v>650</v>
      </c>
      <c r="B15" s="63" t="n">
        <v>40</v>
      </c>
      <c r="C15" s="23" t="s">
        <v>629</v>
      </c>
      <c r="D15" s="64" t="s">
        <v>649</v>
      </c>
    </row>
    <row r="16" customFormat="false" ht="19.4" hidden="false" customHeight="false" outlineLevel="0" collapsed="false">
      <c r="A16" s="62" t="s">
        <v>651</v>
      </c>
      <c r="B16" s="63" t="n">
        <v>0.3</v>
      </c>
      <c r="C16" s="23" t="s">
        <v>629</v>
      </c>
      <c r="D16" s="64" t="s">
        <v>652</v>
      </c>
    </row>
    <row r="17" customFormat="false" ht="19.4" hidden="false" customHeight="false" outlineLevel="0" collapsed="false">
      <c r="A17" s="62" t="s">
        <v>653</v>
      </c>
      <c r="B17" s="65" t="n">
        <f aca="false">B7-2*B6</f>
        <v>-22.5</v>
      </c>
      <c r="C17" s="23" t="s">
        <v>629</v>
      </c>
      <c r="D17" s="64" t="s">
        <v>654</v>
      </c>
    </row>
    <row r="18" customFormat="false" ht="19.4" hidden="false" customHeight="false" outlineLevel="0" collapsed="false">
      <c r="A18" s="62" t="s">
        <v>655</v>
      </c>
      <c r="B18" s="66" t="n">
        <f aca="false">B9+B10+B11+B15</f>
        <v>91.1</v>
      </c>
      <c r="C18" s="23" t="s">
        <v>629</v>
      </c>
      <c r="D18" s="64" t="s">
        <v>656</v>
      </c>
    </row>
    <row r="19" customFormat="false" ht="28.35" hidden="false" customHeight="false" outlineLevel="0" collapsed="false">
      <c r="A19" s="62" t="s">
        <v>657</v>
      </c>
      <c r="B19" s="63" t="n">
        <v>1.2</v>
      </c>
      <c r="C19" s="23" t="s">
        <v>629</v>
      </c>
      <c r="D19" s="64" t="s">
        <v>658</v>
      </c>
    </row>
    <row r="20" customFormat="false" ht="19.4" hidden="false" customHeight="false" outlineLevel="0" collapsed="false">
      <c r="A20" s="62" t="s">
        <v>659</v>
      </c>
      <c r="B20" s="63" t="n">
        <v>0.8</v>
      </c>
      <c r="C20" s="23" t="s">
        <v>629</v>
      </c>
      <c r="D20" s="64" t="s">
        <v>660</v>
      </c>
    </row>
    <row r="21" customFormat="false" ht="19.4" hidden="false" customHeight="false" outlineLevel="0" collapsed="false">
      <c r="A21" s="62" t="s">
        <v>661</v>
      </c>
      <c r="B21" s="63" t="n">
        <v>3.2</v>
      </c>
      <c r="C21" s="23" t="s">
        <v>629</v>
      </c>
      <c r="D21" s="64" t="s">
        <v>662</v>
      </c>
    </row>
    <row r="22" customFormat="false" ht="19.4" hidden="false" customHeight="false" outlineLevel="0" collapsed="false">
      <c r="A22" s="62" t="s">
        <v>663</v>
      </c>
      <c r="B22" s="63" t="n">
        <v>3</v>
      </c>
      <c r="C22" s="23" t="s">
        <v>629</v>
      </c>
      <c r="D22" s="64" t="s">
        <v>664</v>
      </c>
    </row>
    <row r="24" customFormat="false" ht="18" hidden="false" customHeight="true" outlineLevel="0" collapsed="false">
      <c r="A24" s="61" t="s">
        <v>665</v>
      </c>
      <c r="B24" s="61"/>
      <c r="C24" s="61"/>
      <c r="D24" s="61"/>
      <c r="E24" s="61"/>
      <c r="F24" s="61"/>
      <c r="G24" s="61"/>
      <c r="H24" s="61"/>
      <c r="I24" s="61"/>
    </row>
    <row r="25" customFormat="false" ht="27.75" hidden="false" customHeight="true" outlineLevel="0" collapsed="false">
      <c r="A25" s="67" t="s">
        <v>666</v>
      </c>
      <c r="B25" s="67" t="s">
        <v>9</v>
      </c>
      <c r="C25" s="67" t="s">
        <v>667</v>
      </c>
      <c r="D25" s="67" t="s">
        <v>668</v>
      </c>
      <c r="E25" s="67" t="s">
        <v>669</v>
      </c>
      <c r="F25" s="67" t="s">
        <v>670</v>
      </c>
      <c r="G25" s="67" t="s">
        <v>671</v>
      </c>
      <c r="H25" s="67" t="s">
        <v>672</v>
      </c>
      <c r="I25" s="67" t="s">
        <v>534</v>
      </c>
    </row>
    <row r="26" customFormat="false" ht="19.4" hidden="false" customHeight="false" outlineLevel="0" collapsed="false">
      <c r="A26" s="30" t="s">
        <v>673</v>
      </c>
      <c r="B26" s="55" t="n">
        <v>1</v>
      </c>
      <c r="C26" s="56" t="n">
        <f aca="false">B9*B10*B7/1000*1.85</f>
        <v>0.20424</v>
      </c>
      <c r="D26" s="56" t="n">
        <f aca="false">B26*C26</f>
        <v>0.20424</v>
      </c>
      <c r="E26" s="30" t="s">
        <v>674</v>
      </c>
      <c r="F26" s="30" t="s">
        <v>675</v>
      </c>
      <c r="G26" s="56" t="n">
        <v>1.85</v>
      </c>
      <c r="H26" s="56" t="n">
        <f aca="false">2*(87*67*1.6/1000)</f>
        <v>18.6528</v>
      </c>
      <c r="I26" s="32" t="s">
        <v>676</v>
      </c>
    </row>
    <row r="27" customFormat="false" ht="19.4" hidden="false" customHeight="false" outlineLevel="0" collapsed="false">
      <c r="A27" s="33" t="s">
        <v>677</v>
      </c>
      <c r="B27" s="57" t="n">
        <v>1</v>
      </c>
      <c r="C27" s="58" t="n">
        <v>0.85</v>
      </c>
      <c r="D27" s="58" t="n">
        <f aca="false">B27*C27</f>
        <v>0.85</v>
      </c>
      <c r="E27" s="33" t="s">
        <v>678</v>
      </c>
      <c r="F27" s="33" t="s">
        <v>679</v>
      </c>
      <c r="G27" s="58" t="n">
        <v>8.96</v>
      </c>
      <c r="H27" s="58" t="n">
        <f aca="false">1*0.85/8.96</f>
        <v>0.0948660714285714</v>
      </c>
      <c r="I27" s="35" t="s">
        <v>680</v>
      </c>
    </row>
    <row r="28" customFormat="false" ht="15" hidden="false" customHeight="false" outlineLevel="0" collapsed="false">
      <c r="A28" s="30" t="s">
        <v>681</v>
      </c>
      <c r="B28" s="55" t="n">
        <v>1</v>
      </c>
      <c r="C28" s="56" t="n">
        <v>0.38</v>
      </c>
      <c r="D28" s="56" t="n">
        <f aca="false">B28*C28</f>
        <v>0.38</v>
      </c>
      <c r="E28" s="30" t="s">
        <v>682</v>
      </c>
      <c r="F28" s="30" t="s">
        <v>683</v>
      </c>
      <c r="G28" s="56" t="n">
        <v>2.1</v>
      </c>
      <c r="H28" s="56" t="n">
        <f aca="false">0.38/2.1</f>
        <v>0.180952380952381</v>
      </c>
      <c r="I28" s="32" t="s">
        <v>684</v>
      </c>
    </row>
    <row r="29" customFormat="false" ht="15" hidden="false" customHeight="false" outlineLevel="0" collapsed="false">
      <c r="A29" s="33" t="s">
        <v>537</v>
      </c>
      <c r="B29" s="57" t="n">
        <v>1</v>
      </c>
      <c r="C29" s="58" t="n">
        <v>0.16</v>
      </c>
      <c r="D29" s="58" t="n">
        <f aca="false">B29*C29</f>
        <v>0.16</v>
      </c>
      <c r="E29" s="33" t="s">
        <v>682</v>
      </c>
      <c r="F29" s="33" t="s">
        <v>685</v>
      </c>
      <c r="G29" s="58" t="n">
        <v>2.1</v>
      </c>
      <c r="H29" s="58" t="n">
        <f aca="false">0.16/2.1</f>
        <v>0.0761904761904762</v>
      </c>
      <c r="I29" s="35" t="s">
        <v>686</v>
      </c>
    </row>
    <row r="30" customFormat="false" ht="15" hidden="false" customHeight="false" outlineLevel="0" collapsed="false">
      <c r="A30" s="30" t="s">
        <v>687</v>
      </c>
      <c r="B30" s="55" t="n">
        <v>1</v>
      </c>
      <c r="C30" s="56" t="n">
        <v>2.3</v>
      </c>
      <c r="D30" s="56" t="n">
        <f aca="false">B30*C30</f>
        <v>2.3</v>
      </c>
      <c r="E30" s="30" t="s">
        <v>688</v>
      </c>
      <c r="F30" s="30" t="s">
        <v>689</v>
      </c>
      <c r="G30" s="56" t="n">
        <v>3.5</v>
      </c>
      <c r="H30" s="56" t="n">
        <f aca="false">2.3/3.5</f>
        <v>0.657142857142857</v>
      </c>
      <c r="I30" s="32" t="s">
        <v>690</v>
      </c>
    </row>
    <row r="31" customFormat="false" ht="15" hidden="false" customHeight="false" outlineLevel="0" collapsed="false">
      <c r="A31" s="33" t="s">
        <v>691</v>
      </c>
      <c r="B31" s="57" t="n">
        <v>1</v>
      </c>
      <c r="C31" s="58" t="n">
        <v>0.06</v>
      </c>
      <c r="D31" s="58" t="n">
        <f aca="false">B31*C31</f>
        <v>0.06</v>
      </c>
      <c r="E31" s="33" t="s">
        <v>692</v>
      </c>
      <c r="F31" s="33" t="s">
        <v>693</v>
      </c>
      <c r="G31" s="58" t="n">
        <v>2.1</v>
      </c>
      <c r="H31" s="58" t="n">
        <f aca="false">0.06/2.1</f>
        <v>0.0285714285714286</v>
      </c>
      <c r="I31" s="35"/>
    </row>
    <row r="32" customFormat="false" ht="15" hidden="false" customHeight="false" outlineLevel="0" collapsed="false">
      <c r="A32" s="30" t="s">
        <v>539</v>
      </c>
      <c r="B32" s="55" t="n">
        <v>1</v>
      </c>
      <c r="C32" s="56" t="n">
        <v>0.12</v>
      </c>
      <c r="D32" s="56" t="n">
        <f aca="false">B32*C32</f>
        <v>0.12</v>
      </c>
      <c r="E32" s="30" t="s">
        <v>682</v>
      </c>
      <c r="F32" s="30" t="s">
        <v>694</v>
      </c>
      <c r="G32" s="56" t="n">
        <v>2.1</v>
      </c>
      <c r="H32" s="56" t="n">
        <f aca="false">0.12/2.1</f>
        <v>0.0571428571428571</v>
      </c>
      <c r="I32" s="32"/>
    </row>
    <row r="33" customFormat="false" ht="15" hidden="false" customHeight="false" outlineLevel="0" collapsed="false">
      <c r="A33" s="33" t="s">
        <v>695</v>
      </c>
      <c r="B33" s="57" t="n">
        <v>1</v>
      </c>
      <c r="C33" s="58" t="n">
        <v>0.05</v>
      </c>
      <c r="D33" s="58" t="n">
        <f aca="false">B33*C33</f>
        <v>0.05</v>
      </c>
      <c r="E33" s="33" t="s">
        <v>696</v>
      </c>
      <c r="F33" s="33" t="s">
        <v>697</v>
      </c>
      <c r="G33" s="58" t="n">
        <v>2.1</v>
      </c>
      <c r="H33" s="58" t="n">
        <f aca="false">0.05/2.1</f>
        <v>0.0238095238095238</v>
      </c>
      <c r="I33" s="35"/>
    </row>
    <row r="34" customFormat="false" ht="15" hidden="false" customHeight="false" outlineLevel="0" collapsed="false">
      <c r="A34" s="30" t="s">
        <v>698</v>
      </c>
      <c r="B34" s="55" t="n">
        <v>2</v>
      </c>
      <c r="C34" s="56" t="n">
        <v>0.12</v>
      </c>
      <c r="D34" s="56" t="n">
        <f aca="false">B34*C34</f>
        <v>0.24</v>
      </c>
      <c r="E34" s="30" t="s">
        <v>699</v>
      </c>
      <c r="F34" s="30" t="s">
        <v>700</v>
      </c>
      <c r="G34" s="56" t="n">
        <v>2.1</v>
      </c>
      <c r="H34" s="56" t="n">
        <f aca="false">0.12/2.1</f>
        <v>0.0571428571428571</v>
      </c>
      <c r="I34" s="32" t="s">
        <v>701</v>
      </c>
    </row>
    <row r="35" customFormat="false" ht="15" hidden="false" customHeight="false" outlineLevel="0" collapsed="false">
      <c r="A35" s="33" t="s">
        <v>702</v>
      </c>
      <c r="B35" s="57" t="n">
        <v>2</v>
      </c>
      <c r="C35" s="58" t="n">
        <v>0.08</v>
      </c>
      <c r="D35" s="58" t="n">
        <f aca="false">B35*C35</f>
        <v>0.16</v>
      </c>
      <c r="E35" s="33" t="s">
        <v>703</v>
      </c>
      <c r="F35" s="33" t="s">
        <v>704</v>
      </c>
      <c r="G35" s="58" t="n">
        <v>2.1</v>
      </c>
      <c r="H35" s="58" t="n">
        <f aca="false">0.08/2.1</f>
        <v>0.0380952380952381</v>
      </c>
      <c r="I35" s="35" t="s">
        <v>705</v>
      </c>
    </row>
    <row r="36" customFormat="false" ht="19.4" hidden="false" customHeight="false" outlineLevel="0" collapsed="false">
      <c r="A36" s="30" t="s">
        <v>706</v>
      </c>
      <c r="B36" s="55" t="n">
        <v>60</v>
      </c>
      <c r="C36" s="56" t="n">
        <v>0.008</v>
      </c>
      <c r="D36" s="56" t="n">
        <f aca="false">B36*C36</f>
        <v>0.48</v>
      </c>
      <c r="E36" s="30" t="s">
        <v>707</v>
      </c>
      <c r="F36" s="30" t="s">
        <v>708</v>
      </c>
      <c r="G36" s="56" t="n">
        <v>3.1</v>
      </c>
      <c r="H36" s="56" t="n">
        <f aca="false">60*0.008/3.1</f>
        <v>0.154838709677419</v>
      </c>
      <c r="I36" s="32" t="s">
        <v>709</v>
      </c>
    </row>
    <row r="37" customFormat="false" ht="19.4" hidden="false" customHeight="false" outlineLevel="0" collapsed="false">
      <c r="A37" s="33" t="s">
        <v>710</v>
      </c>
      <c r="B37" s="57" t="n">
        <v>35</v>
      </c>
      <c r="C37" s="58" t="n">
        <v>0.004</v>
      </c>
      <c r="D37" s="58" t="n">
        <f aca="false">B37*C37</f>
        <v>0.14</v>
      </c>
      <c r="E37" s="33" t="s">
        <v>711</v>
      </c>
      <c r="F37" s="33" t="s">
        <v>712</v>
      </c>
      <c r="G37" s="58" t="n">
        <v>2.5</v>
      </c>
      <c r="H37" s="58" t="n">
        <f aca="false">35*0.004/2.5</f>
        <v>0.056</v>
      </c>
      <c r="I37" s="35" t="s">
        <v>713</v>
      </c>
    </row>
    <row r="38" customFormat="false" ht="15" hidden="false" customHeight="false" outlineLevel="0" collapsed="false">
      <c r="A38" s="30" t="s">
        <v>714</v>
      </c>
      <c r="B38" s="55" t="n">
        <v>15</v>
      </c>
      <c r="C38" s="56" t="n">
        <v>0.018</v>
      </c>
      <c r="D38" s="56" t="n">
        <f aca="false">B38*C38</f>
        <v>0.27</v>
      </c>
      <c r="E38" s="30" t="s">
        <v>715</v>
      </c>
      <c r="F38" s="30" t="s">
        <v>708</v>
      </c>
      <c r="G38" s="56" t="n">
        <v>4.8</v>
      </c>
      <c r="H38" s="56" t="n">
        <f aca="false">15*0.018/4.8</f>
        <v>0.05625</v>
      </c>
      <c r="I38" s="32"/>
    </row>
    <row r="39" customFormat="false" ht="15" hidden="false" customHeight="false" outlineLevel="0" collapsed="false">
      <c r="A39" s="33" t="s">
        <v>716</v>
      </c>
      <c r="B39" s="57" t="n">
        <v>3</v>
      </c>
      <c r="C39" s="58" t="n">
        <v>0.065</v>
      </c>
      <c r="D39" s="58" t="n">
        <f aca="false">B39*C39</f>
        <v>0.195</v>
      </c>
      <c r="E39" s="33" t="s">
        <v>717</v>
      </c>
      <c r="F39" s="33" t="s">
        <v>718</v>
      </c>
      <c r="G39" s="58" t="n">
        <v>2.65</v>
      </c>
      <c r="H39" s="58" t="n">
        <f aca="false">3*0.065/2.65</f>
        <v>0.0735849056603774</v>
      </c>
      <c r="I39" s="35"/>
    </row>
    <row r="40" customFormat="false" ht="15" hidden="false" customHeight="false" outlineLevel="0" collapsed="false">
      <c r="A40" s="30" t="s">
        <v>719</v>
      </c>
      <c r="B40" s="55" t="n">
        <v>1</v>
      </c>
      <c r="C40" s="56" t="n">
        <v>0.55</v>
      </c>
      <c r="D40" s="56" t="n">
        <f aca="false">B40*C40</f>
        <v>0.55</v>
      </c>
      <c r="E40" s="30" t="s">
        <v>720</v>
      </c>
      <c r="F40" s="30" t="s">
        <v>721</v>
      </c>
      <c r="G40" s="56" t="n">
        <v>5.5</v>
      </c>
      <c r="H40" s="56" t="n">
        <f aca="false">0.55/5.5</f>
        <v>0.1</v>
      </c>
      <c r="I40" s="32"/>
    </row>
    <row r="41" customFormat="false" ht="15" hidden="false" customHeight="false" outlineLevel="0" collapsed="false">
      <c r="A41" s="33" t="s">
        <v>722</v>
      </c>
      <c r="B41" s="57" t="n">
        <v>1</v>
      </c>
      <c r="C41" s="58" t="n">
        <v>0.22</v>
      </c>
      <c r="D41" s="58" t="n">
        <f aca="false">B41*C41</f>
        <v>0.22</v>
      </c>
      <c r="E41" s="33" t="s">
        <v>723</v>
      </c>
      <c r="F41" s="33" t="s">
        <v>382</v>
      </c>
      <c r="G41" s="58" t="n">
        <v>4.5</v>
      </c>
      <c r="H41" s="58" t="n">
        <f aca="false">0.22/4.5</f>
        <v>0.0488888888888889</v>
      </c>
      <c r="I41" s="35"/>
    </row>
    <row r="42" customFormat="false" ht="15" hidden="false" customHeight="false" outlineLevel="0" collapsed="false">
      <c r="A42" s="30" t="s">
        <v>387</v>
      </c>
      <c r="B42" s="55" t="n">
        <v>1</v>
      </c>
      <c r="C42" s="56" t="n">
        <v>1.2</v>
      </c>
      <c r="D42" s="56" t="n">
        <f aca="false">B42*C42</f>
        <v>1.2</v>
      </c>
      <c r="E42" s="30" t="s">
        <v>724</v>
      </c>
      <c r="F42" s="30" t="s">
        <v>725</v>
      </c>
      <c r="G42" s="56" t="n">
        <v>7.8</v>
      </c>
      <c r="H42" s="56" t="n">
        <f aca="false">1.2/7.8</f>
        <v>0.153846153846154</v>
      </c>
      <c r="I42" s="32"/>
    </row>
    <row r="43" customFormat="false" ht="15" hidden="false" customHeight="false" outlineLevel="0" collapsed="false">
      <c r="A43" s="33" t="s">
        <v>726</v>
      </c>
      <c r="B43" s="57" t="n">
        <v>2</v>
      </c>
      <c r="C43" s="58" t="n">
        <v>0.14</v>
      </c>
      <c r="D43" s="58" t="n">
        <f aca="false">B43*C43</f>
        <v>0.28</v>
      </c>
      <c r="E43" s="33" t="s">
        <v>727</v>
      </c>
      <c r="F43" s="33" t="s">
        <v>728</v>
      </c>
      <c r="G43" s="58" t="n">
        <v>8.9</v>
      </c>
      <c r="H43" s="58" t="n">
        <f aca="false">2*0.14/8.9</f>
        <v>0.0314606741573034</v>
      </c>
      <c r="I43" s="35"/>
    </row>
    <row r="44" customFormat="false" ht="15" hidden="false" customHeight="false" outlineLevel="0" collapsed="false">
      <c r="A44" s="30" t="s">
        <v>729</v>
      </c>
      <c r="B44" s="55" t="n">
        <v>6</v>
      </c>
      <c r="C44" s="56" t="n">
        <v>0.012</v>
      </c>
      <c r="D44" s="56" t="n">
        <f aca="false">B44*C44</f>
        <v>0.072</v>
      </c>
      <c r="E44" s="30" t="s">
        <v>730</v>
      </c>
      <c r="F44" s="30" t="s">
        <v>731</v>
      </c>
      <c r="G44" s="56" t="n">
        <v>1.9</v>
      </c>
      <c r="H44" s="56" t="n">
        <f aca="false">6*0.012/1.9</f>
        <v>0.0378947368421053</v>
      </c>
      <c r="I44" s="32"/>
    </row>
    <row r="45" customFormat="false" ht="15" hidden="false" customHeight="false" outlineLevel="0" collapsed="false">
      <c r="A45" s="33" t="s">
        <v>732</v>
      </c>
      <c r="B45" s="57" t="n">
        <v>1</v>
      </c>
      <c r="C45" s="58" t="n">
        <v>2.85</v>
      </c>
      <c r="D45" s="58" t="n">
        <f aca="false">B45*C45</f>
        <v>2.85</v>
      </c>
      <c r="E45" s="33" t="s">
        <v>733</v>
      </c>
      <c r="F45" s="33" t="s">
        <v>464</v>
      </c>
      <c r="G45" s="58" t="n">
        <v>7.5</v>
      </c>
      <c r="H45" s="58" t="n">
        <f aca="false">2.85/7.5</f>
        <v>0.38</v>
      </c>
      <c r="I45" s="35" t="s">
        <v>734</v>
      </c>
    </row>
    <row r="46" customFormat="false" ht="15" hidden="false" customHeight="false" outlineLevel="0" collapsed="false">
      <c r="A46" s="30" t="s">
        <v>735</v>
      </c>
      <c r="B46" s="55" t="n">
        <v>1</v>
      </c>
      <c r="C46" s="56" t="n">
        <v>0.75</v>
      </c>
      <c r="D46" s="56" t="n">
        <f aca="false">B46*C46</f>
        <v>0.75</v>
      </c>
      <c r="E46" s="30" t="s">
        <v>736</v>
      </c>
      <c r="F46" s="30" t="s">
        <v>737</v>
      </c>
      <c r="G46" s="56" t="n">
        <v>4.5</v>
      </c>
      <c r="H46" s="56" t="n">
        <f aca="false">0.75/4.5</f>
        <v>0.166666666666667</v>
      </c>
      <c r="I46" s="32"/>
    </row>
    <row r="47" customFormat="false" ht="15" hidden="false" customHeight="false" outlineLevel="0" collapsed="false">
      <c r="A47" s="33" t="s">
        <v>738</v>
      </c>
      <c r="B47" s="57" t="n">
        <v>1</v>
      </c>
      <c r="C47" s="58" t="n">
        <v>2</v>
      </c>
      <c r="D47" s="58" t="n">
        <f aca="false">B47*C47</f>
        <v>2</v>
      </c>
      <c r="E47" s="33" t="s">
        <v>739</v>
      </c>
      <c r="F47" s="33" t="s">
        <v>740</v>
      </c>
      <c r="G47" s="58" t="n">
        <v>7.4</v>
      </c>
      <c r="H47" s="58" t="n">
        <f aca="false">2/7.4</f>
        <v>0.27027027027027</v>
      </c>
      <c r="I47" s="35" t="s">
        <v>741</v>
      </c>
    </row>
    <row r="48" customFormat="false" ht="15" hidden="false" customHeight="false" outlineLevel="0" collapsed="false">
      <c r="A48" s="30" t="s">
        <v>742</v>
      </c>
      <c r="B48" s="55" t="n">
        <v>1</v>
      </c>
      <c r="C48" s="56" t="n">
        <v>0.8</v>
      </c>
      <c r="D48" s="56" t="n">
        <f aca="false">B48*C48</f>
        <v>0.8</v>
      </c>
      <c r="E48" s="30" t="s">
        <v>743</v>
      </c>
      <c r="F48" s="30" t="s">
        <v>744</v>
      </c>
      <c r="G48" s="56" t="n">
        <v>1.1</v>
      </c>
      <c r="H48" s="56" t="n">
        <f aca="false">0.8/1.1</f>
        <v>0.727272727272727</v>
      </c>
      <c r="I48" s="32" t="s">
        <v>745</v>
      </c>
    </row>
    <row r="49" customFormat="false" ht="19.4" hidden="false" customHeight="false" outlineLevel="0" collapsed="false">
      <c r="A49" s="33" t="s">
        <v>746</v>
      </c>
      <c r="B49" s="57" t="n">
        <v>1</v>
      </c>
      <c r="C49" s="58" t="n">
        <v>54</v>
      </c>
      <c r="D49" s="58" t="n">
        <f aca="false">B49*C49</f>
        <v>54</v>
      </c>
      <c r="E49" s="33" t="s">
        <v>747</v>
      </c>
      <c r="F49" s="33" t="s">
        <v>748</v>
      </c>
      <c r="G49" s="58" t="n">
        <v>2.4</v>
      </c>
      <c r="H49" s="58" t="n">
        <f aca="false">54/2.4</f>
        <v>22.5</v>
      </c>
      <c r="I49" s="35" t="s">
        <v>749</v>
      </c>
    </row>
    <row r="50" customFormat="false" ht="15" hidden="false" customHeight="false" outlineLevel="0" collapsed="false">
      <c r="A50" s="30" t="s">
        <v>750</v>
      </c>
      <c r="B50" s="55" t="n">
        <v>1</v>
      </c>
      <c r="C50" s="56" t="n">
        <v>2.5</v>
      </c>
      <c r="D50" s="56" t="n">
        <f aca="false">B50*C50</f>
        <v>2.5</v>
      </c>
      <c r="E50" s="30" t="s">
        <v>751</v>
      </c>
      <c r="F50" s="30" t="s">
        <v>752</v>
      </c>
      <c r="G50" s="56" t="n">
        <v>8.96</v>
      </c>
      <c r="H50" s="56" t="n">
        <f aca="false">2.5/8.96</f>
        <v>0.279017857142857</v>
      </c>
      <c r="I50" s="32"/>
    </row>
    <row r="51" customFormat="false" ht="15" hidden="false" customHeight="false" outlineLevel="0" collapsed="false">
      <c r="A51" s="33" t="s">
        <v>753</v>
      </c>
      <c r="B51" s="57" t="n">
        <v>1</v>
      </c>
      <c r="C51" s="58" t="n">
        <f aca="false">B4*B5*B6/1000*1.05*0.25</f>
        <v>19.845</v>
      </c>
      <c r="D51" s="58" t="n">
        <f aca="false">B51*C51</f>
        <v>19.845</v>
      </c>
      <c r="E51" s="33" t="s">
        <v>754</v>
      </c>
      <c r="F51" s="33" t="s">
        <v>755</v>
      </c>
      <c r="G51" s="58" t="n">
        <v>1.05</v>
      </c>
      <c r="H51" s="58" t="n">
        <f aca="false">B4*B5*12/1000*0.25</f>
        <v>18.9</v>
      </c>
      <c r="I51" s="35" t="s">
        <v>756</v>
      </c>
    </row>
    <row r="52" customFormat="false" ht="15" hidden="false" customHeight="false" outlineLevel="0" collapsed="false">
      <c r="A52" s="30" t="s">
        <v>757</v>
      </c>
      <c r="B52" s="55" t="n">
        <v>1</v>
      </c>
      <c r="C52" s="56" t="n">
        <f aca="false">B4*B5*B6/1000*1.05*0.2</f>
        <v>15.876</v>
      </c>
      <c r="D52" s="56" t="n">
        <f aca="false">B52*C52</f>
        <v>15.876</v>
      </c>
      <c r="E52" s="30" t="s">
        <v>754</v>
      </c>
      <c r="F52" s="30" t="s">
        <v>758</v>
      </c>
      <c r="G52" s="56" t="n">
        <v>1.05</v>
      </c>
      <c r="H52" s="56" t="n">
        <f aca="false">B4*B5*12/1000*0.2</f>
        <v>15.12</v>
      </c>
      <c r="I52" s="32" t="s">
        <v>759</v>
      </c>
    </row>
    <row r="53" customFormat="false" ht="15" hidden="false" customHeight="false" outlineLevel="0" collapsed="false">
      <c r="A53" s="33" t="s">
        <v>760</v>
      </c>
      <c r="B53" s="57" t="n">
        <v>1</v>
      </c>
      <c r="C53" s="58" t="n">
        <v>1.8</v>
      </c>
      <c r="D53" s="58" t="n">
        <f aca="false">B53*C53</f>
        <v>1.8</v>
      </c>
      <c r="E53" s="33" t="s">
        <v>761</v>
      </c>
      <c r="F53" s="33" t="s">
        <v>762</v>
      </c>
      <c r="G53" s="58" t="n">
        <v>1.15</v>
      </c>
      <c r="H53" s="58" t="n">
        <f aca="false">1.8/1.15</f>
        <v>1.56521739130435</v>
      </c>
      <c r="I53" s="35" t="s">
        <v>763</v>
      </c>
    </row>
    <row r="54" customFormat="false" ht="15" hidden="false" customHeight="false" outlineLevel="0" collapsed="false">
      <c r="A54" s="30" t="s">
        <v>764</v>
      </c>
      <c r="B54" s="55" t="n">
        <v>4</v>
      </c>
      <c r="C54" s="56" t="n">
        <v>0.45</v>
      </c>
      <c r="D54" s="56" t="n">
        <f aca="false">B54*C54</f>
        <v>1.8</v>
      </c>
      <c r="E54" s="30" t="s">
        <v>765</v>
      </c>
      <c r="F54" s="30" t="s">
        <v>766</v>
      </c>
      <c r="G54" s="56" t="n">
        <v>7.9</v>
      </c>
      <c r="H54" s="56" t="n">
        <f aca="false">4*0.45/7.9</f>
        <v>0.227848101265823</v>
      </c>
      <c r="I54" s="32" t="s">
        <v>767</v>
      </c>
    </row>
    <row r="55" customFormat="false" ht="15" hidden="false" customHeight="false" outlineLevel="0" collapsed="false">
      <c r="A55" s="33" t="s">
        <v>768</v>
      </c>
      <c r="B55" s="57" t="n">
        <v>1</v>
      </c>
      <c r="C55" s="58" t="n">
        <v>0.2</v>
      </c>
      <c r="D55" s="58" t="n">
        <f aca="false">B55*C55</f>
        <v>0.2</v>
      </c>
      <c r="E55" s="33" t="s">
        <v>769</v>
      </c>
      <c r="F55" s="33" t="s">
        <v>770</v>
      </c>
      <c r="G55" s="58" t="n">
        <v>0.03</v>
      </c>
      <c r="H55" s="58" t="n">
        <f aca="false">0.2/0.03</f>
        <v>6.66666666666667</v>
      </c>
      <c r="I55" s="35" t="s">
        <v>771</v>
      </c>
    </row>
    <row r="56" customFormat="false" ht="19.4" hidden="false" customHeight="false" outlineLevel="0" collapsed="false">
      <c r="A56" s="30" t="s">
        <v>772</v>
      </c>
      <c r="B56" s="55" t="n">
        <v>0</v>
      </c>
      <c r="C56" s="56" t="n">
        <v>0</v>
      </c>
      <c r="D56" s="56" t="n">
        <f aca="false">B56*C56</f>
        <v>0</v>
      </c>
      <c r="E56" s="30" t="s">
        <v>773</v>
      </c>
      <c r="F56" s="30" t="s">
        <v>774</v>
      </c>
      <c r="G56" s="56" t="n">
        <v>8.96</v>
      </c>
      <c r="H56" s="56" t="n">
        <v>0</v>
      </c>
      <c r="I56" s="32" t="s">
        <v>775</v>
      </c>
    </row>
    <row r="57" customFormat="false" ht="18" hidden="false" customHeight="true" outlineLevel="0" collapsed="false">
      <c r="A57" s="61" t="s">
        <v>776</v>
      </c>
      <c r="B57" s="61"/>
      <c r="C57" s="61"/>
      <c r="D57" s="61"/>
      <c r="E57" s="61"/>
      <c r="F57" s="61"/>
      <c r="G57" s="61"/>
      <c r="H57" s="61"/>
      <c r="I57" s="61"/>
    </row>
    <row r="58" customFormat="false" ht="15" hidden="false" customHeight="false" outlineLevel="0" collapsed="false">
      <c r="A58" s="68" t="s">
        <v>777</v>
      </c>
      <c r="B58" s="69" t="n">
        <f aca="false">SUM(D26:D56)</f>
        <v>110.35224</v>
      </c>
      <c r="C58" s="68" t="s">
        <v>778</v>
      </c>
    </row>
    <row r="59" customFormat="false" ht="15" hidden="false" customHeight="false" outlineLevel="0" collapsed="false">
      <c r="A59" s="68" t="s">
        <v>779</v>
      </c>
      <c r="B59" s="70" t="n">
        <v>140</v>
      </c>
      <c r="C59" s="71" t="s">
        <v>780</v>
      </c>
    </row>
    <row r="60" customFormat="false" ht="15" hidden="false" customHeight="false" outlineLevel="0" collapsed="false">
      <c r="A60" s="68" t="s">
        <v>781</v>
      </c>
      <c r="B60" s="72" t="n">
        <f aca="false">B59-B58</f>
        <v>29.64776</v>
      </c>
      <c r="C60" s="73" t="s">
        <v>782</v>
      </c>
    </row>
    <row r="61" customFormat="false" ht="15" hidden="false" customHeight="false" outlineLevel="0" collapsed="false">
      <c r="A61" s="68" t="s">
        <v>783</v>
      </c>
      <c r="B61" s="74" t="str">
        <f aca="false">IF(B59&lt;=B60,"✅ PASS — Under Target","❌ FAIL — Exceeds Target")</f>
        <v>❌ FAIL — Exceeds Target</v>
      </c>
      <c r="C61" s="74"/>
      <c r="D61" s="74"/>
    </row>
    <row r="63" customFormat="false" ht="18" hidden="false" customHeight="true" outlineLevel="0" collapsed="false">
      <c r="A63" s="61" t="s">
        <v>784</v>
      </c>
      <c r="B63" s="61"/>
      <c r="C63" s="61"/>
      <c r="D63" s="61"/>
      <c r="E63" s="61"/>
      <c r="F63" s="61"/>
      <c r="G63" s="61"/>
      <c r="H63" s="61"/>
      <c r="I63" s="61"/>
    </row>
    <row r="64" customFormat="false" ht="19.4" hidden="false" customHeight="false" outlineLevel="0" collapsed="false">
      <c r="A64" s="62" t="s">
        <v>785</v>
      </c>
      <c r="B64" s="75" t="n">
        <f aca="false">B4*B5*B6/1000</f>
        <v>75.6</v>
      </c>
      <c r="C64" s="23" t="s">
        <v>786</v>
      </c>
      <c r="D64" s="64" t="s">
        <v>787</v>
      </c>
    </row>
    <row r="65" customFormat="false" ht="15" hidden="false" customHeight="false" outlineLevel="0" collapsed="false">
      <c r="A65" s="62" t="s">
        <v>788</v>
      </c>
      <c r="B65" s="75" t="n">
        <f aca="false">B9*B10</f>
        <v>73.6</v>
      </c>
      <c r="C65" s="23" t="s">
        <v>789</v>
      </c>
      <c r="D65" s="64" t="s">
        <v>790</v>
      </c>
    </row>
    <row r="66" customFormat="false" ht="19.4" hidden="false" customHeight="false" outlineLevel="0" collapsed="false">
      <c r="A66" s="62" t="s">
        <v>791</v>
      </c>
      <c r="B66" s="75" t="n">
        <f aca="false">B9*B10*B7/1000</f>
        <v>0.1104</v>
      </c>
      <c r="C66" s="23" t="s">
        <v>786</v>
      </c>
      <c r="D66" s="64" t="s">
        <v>792</v>
      </c>
    </row>
    <row r="67" customFormat="false" ht="19.4" hidden="false" customHeight="false" outlineLevel="0" collapsed="false">
      <c r="A67" s="62" t="s">
        <v>793</v>
      </c>
      <c r="B67" s="75" t="n">
        <f aca="false">B12*B13</f>
        <v>5.76</v>
      </c>
      <c r="C67" s="23" t="s">
        <v>789</v>
      </c>
      <c r="D67" s="64" t="s">
        <v>794</v>
      </c>
    </row>
    <row r="68" customFormat="false" ht="19.4" hidden="false" customHeight="false" outlineLevel="0" collapsed="false">
      <c r="A68" s="62" t="s">
        <v>795</v>
      </c>
      <c r="B68" s="75" t="n">
        <f aca="false">B12*B13*B11/1000</f>
        <v>0.02016</v>
      </c>
      <c r="C68" s="23" t="s">
        <v>786</v>
      </c>
      <c r="D68" s="64" t="s">
        <v>796</v>
      </c>
    </row>
    <row r="69" customFormat="false" ht="19.4" hidden="false" customHeight="false" outlineLevel="0" collapsed="false">
      <c r="A69" s="62" t="s">
        <v>797</v>
      </c>
      <c r="B69" s="45" t="n">
        <f aca="false">B9*B10*0.6</f>
        <v>44.16</v>
      </c>
      <c r="C69" s="23" t="s">
        <v>789</v>
      </c>
      <c r="D69" s="64" t="s">
        <v>798</v>
      </c>
    </row>
    <row r="70" customFormat="false" ht="19.4" hidden="false" customHeight="false" outlineLevel="0" collapsed="false">
      <c r="A70" s="62" t="s">
        <v>799</v>
      </c>
      <c r="B70" s="45" t="n">
        <f aca="false">(B4*B5*(B7-2*B6))/1000-(B9*B10*B7/1000)-(B12*B13*B11/1000)</f>
        <v>-141.88056</v>
      </c>
      <c r="C70" s="23" t="s">
        <v>786</v>
      </c>
      <c r="D70" s="64" t="s">
        <v>800</v>
      </c>
    </row>
    <row r="71" customFormat="false" ht="19.4" hidden="false" customHeight="false" outlineLevel="0" collapsed="false">
      <c r="A71" s="62" t="s">
        <v>801</v>
      </c>
      <c r="B71" s="45" t="n">
        <f aca="false">2*(B4+B5)</f>
        <v>320</v>
      </c>
      <c r="C71" s="23" t="s">
        <v>629</v>
      </c>
      <c r="D71" s="64" t="s">
        <v>802</v>
      </c>
    </row>
    <row r="72" customFormat="false" ht="37.3" hidden="false" customHeight="false" outlineLevel="0" collapsed="false">
      <c r="A72" s="62" t="s">
        <v>803</v>
      </c>
      <c r="B72" s="76" t="n">
        <f aca="false">B9+B10+B11+B15</f>
        <v>91.1</v>
      </c>
      <c r="C72" s="23" t="s">
        <v>804</v>
      </c>
      <c r="D72" s="64" t="s">
        <v>805</v>
      </c>
    </row>
    <row r="73" customFormat="false" ht="37.3" hidden="false" customHeight="false" outlineLevel="0" collapsed="false">
      <c r="A73" s="62" t="s">
        <v>806</v>
      </c>
      <c r="B73" s="77" t="n">
        <v>3.5</v>
      </c>
      <c r="C73" s="23" t="s">
        <v>629</v>
      </c>
      <c r="D73" s="64" t="s">
        <v>807</v>
      </c>
    </row>
    <row r="74" customFormat="false" ht="28.35" hidden="false" customHeight="false" outlineLevel="0" collapsed="false">
      <c r="A74" s="62" t="s">
        <v>808</v>
      </c>
      <c r="B74" s="45" t="n">
        <f aca="false">B7-(B9+B10)</f>
        <v>-46.1</v>
      </c>
      <c r="C74" s="23" t="s">
        <v>629</v>
      </c>
      <c r="D74" s="64" t="s">
        <v>809</v>
      </c>
    </row>
    <row r="76" customFormat="false" ht="18" hidden="false" customHeight="true" outlineLevel="0" collapsed="false">
      <c r="A76" s="61" t="s">
        <v>810</v>
      </c>
      <c r="B76" s="61"/>
      <c r="C76" s="61"/>
      <c r="D76" s="61"/>
      <c r="E76" s="61"/>
      <c r="F76" s="61"/>
      <c r="G76" s="61"/>
      <c r="H76" s="61"/>
      <c r="I76" s="61"/>
    </row>
    <row r="77" customFormat="false" ht="19.5" hidden="false" customHeight="true" outlineLevel="0" collapsed="false">
      <c r="A77" s="78" t="s">
        <v>16</v>
      </c>
      <c r="B77" s="78" t="s">
        <v>811</v>
      </c>
      <c r="C77" s="78" t="s">
        <v>608</v>
      </c>
      <c r="D77" s="78" t="s">
        <v>812</v>
      </c>
    </row>
    <row r="78" customFormat="false" ht="15" hidden="false" customHeight="false" outlineLevel="0" collapsed="false">
      <c r="A78" s="79" t="s">
        <v>813</v>
      </c>
      <c r="B78" s="80" t="n">
        <v>56.5</v>
      </c>
      <c r="C78" s="81" t="n">
        <f aca="false">B78/SUM(B78:B84)</f>
        <v>0.498236331569665</v>
      </c>
      <c r="D78" s="82" t="s">
        <v>814</v>
      </c>
    </row>
    <row r="79" customFormat="false" ht="15" hidden="false" customHeight="false" outlineLevel="0" collapsed="false">
      <c r="A79" s="83" t="s">
        <v>815</v>
      </c>
      <c r="B79" s="84" t="n">
        <v>23.5</v>
      </c>
      <c r="C79" s="85" t="n">
        <f aca="false">B79/SUM(B78:B84)</f>
        <v>0.207231040564374</v>
      </c>
      <c r="D79" s="86" t="s">
        <v>816</v>
      </c>
    </row>
    <row r="80" customFormat="false" ht="15" hidden="false" customHeight="false" outlineLevel="0" collapsed="false">
      <c r="A80" s="79" t="s">
        <v>817</v>
      </c>
      <c r="B80" s="80" t="n">
        <v>19.5</v>
      </c>
      <c r="C80" s="81" t="n">
        <f aca="false">B80/SUM(B78:B84)</f>
        <v>0.171957671957672</v>
      </c>
      <c r="D80" s="82" t="s">
        <v>818</v>
      </c>
    </row>
    <row r="81" customFormat="false" ht="15" hidden="false" customHeight="false" outlineLevel="0" collapsed="false">
      <c r="A81" s="83" t="s">
        <v>819</v>
      </c>
      <c r="B81" s="84" t="n">
        <v>3.7</v>
      </c>
      <c r="C81" s="85" t="n">
        <f aca="false">B81/SUM(B78:B84)</f>
        <v>0.0326278659611993</v>
      </c>
      <c r="D81" s="86" t="s">
        <v>820</v>
      </c>
    </row>
    <row r="82" customFormat="false" ht="15" hidden="false" customHeight="false" outlineLevel="0" collapsed="false">
      <c r="A82" s="79" t="s">
        <v>821</v>
      </c>
      <c r="B82" s="80" t="n">
        <v>1.9</v>
      </c>
      <c r="C82" s="81" t="n">
        <f aca="false">B82/SUM(B78:B84)</f>
        <v>0.0167548500881834</v>
      </c>
      <c r="D82" s="82" t="s">
        <v>822</v>
      </c>
    </row>
    <row r="83" customFormat="false" ht="15" hidden="false" customHeight="false" outlineLevel="0" collapsed="false">
      <c r="A83" s="83" t="s">
        <v>823</v>
      </c>
      <c r="B83" s="84" t="n">
        <v>5.5</v>
      </c>
      <c r="C83" s="85" t="n">
        <f aca="false">B83/SUM(B78:B84)</f>
        <v>0.0485008818342152</v>
      </c>
      <c r="D83" s="86" t="s">
        <v>824</v>
      </c>
    </row>
    <row r="84" customFormat="false" ht="15" hidden="false" customHeight="false" outlineLevel="0" collapsed="false">
      <c r="A84" s="79" t="s">
        <v>825</v>
      </c>
      <c r="B84" s="80" t="n">
        <v>2.8</v>
      </c>
      <c r="C84" s="81" t="n">
        <f aca="false">B84/SUM(B78:B84)</f>
        <v>0.0246913580246914</v>
      </c>
      <c r="D84" s="82" t="s">
        <v>826</v>
      </c>
    </row>
    <row r="85" customFormat="false" ht="15" hidden="false" customHeight="false" outlineLevel="0" collapsed="false">
      <c r="A85" s="68" t="s">
        <v>827</v>
      </c>
      <c r="B85" s="87" t="n">
        <f aca="false">SUM(B78:B84)</f>
        <v>113.4</v>
      </c>
      <c r="C85" s="26" t="s">
        <v>828</v>
      </c>
    </row>
    <row r="87" customFormat="false" ht="18" hidden="false" customHeight="true" outlineLevel="0" collapsed="false">
      <c r="A87" s="61" t="s">
        <v>829</v>
      </c>
      <c r="B87" s="61"/>
      <c r="C87" s="61"/>
      <c r="D87" s="61"/>
      <c r="E87" s="61"/>
      <c r="F87" s="61"/>
      <c r="G87" s="61"/>
      <c r="H87" s="61"/>
      <c r="I87" s="61"/>
    </row>
    <row r="88" customFormat="false" ht="15" hidden="false" customHeight="false" outlineLevel="0" collapsed="false">
      <c r="A88" s="78" t="s">
        <v>830</v>
      </c>
      <c r="B88" s="78" t="s">
        <v>831</v>
      </c>
      <c r="C88" s="78" t="s">
        <v>832</v>
      </c>
      <c r="D88" s="78" t="s">
        <v>669</v>
      </c>
      <c r="E88" s="78" t="s">
        <v>833</v>
      </c>
    </row>
    <row r="89" customFormat="false" ht="15" hidden="false" customHeight="false" outlineLevel="0" collapsed="false">
      <c r="A89" s="30" t="s">
        <v>834</v>
      </c>
      <c r="B89" s="30" t="s">
        <v>835</v>
      </c>
      <c r="C89" s="88" t="n">
        <v>35</v>
      </c>
      <c r="D89" s="30" t="s">
        <v>836</v>
      </c>
      <c r="E89" s="30" t="s">
        <v>837</v>
      </c>
    </row>
    <row r="90" customFormat="false" ht="15" hidden="false" customHeight="false" outlineLevel="0" collapsed="false">
      <c r="A90" s="33" t="s">
        <v>838</v>
      </c>
      <c r="B90" s="33" t="s">
        <v>839</v>
      </c>
      <c r="C90" s="89" t="n">
        <v>360</v>
      </c>
      <c r="D90" s="33" t="s">
        <v>840</v>
      </c>
      <c r="E90" s="33" t="s">
        <v>841</v>
      </c>
    </row>
    <row r="91" customFormat="false" ht="15" hidden="false" customHeight="false" outlineLevel="0" collapsed="false">
      <c r="A91" s="30" t="s">
        <v>125</v>
      </c>
      <c r="B91" s="30" t="s">
        <v>842</v>
      </c>
      <c r="C91" s="88" t="n">
        <v>35</v>
      </c>
      <c r="D91" s="30" t="s">
        <v>678</v>
      </c>
      <c r="E91" s="30" t="s">
        <v>843</v>
      </c>
    </row>
    <row r="92" customFormat="false" ht="15" hidden="false" customHeight="false" outlineLevel="0" collapsed="false">
      <c r="A92" s="33" t="s">
        <v>844</v>
      </c>
      <c r="B92" s="33" t="s">
        <v>839</v>
      </c>
      <c r="C92" s="89" t="n">
        <v>710</v>
      </c>
      <c r="D92" s="33" t="s">
        <v>840</v>
      </c>
      <c r="E92" s="33" t="s">
        <v>845</v>
      </c>
    </row>
    <row r="93" customFormat="false" ht="15" hidden="false" customHeight="false" outlineLevel="0" collapsed="false">
      <c r="A93" s="30" t="s">
        <v>130</v>
      </c>
      <c r="B93" s="30" t="s">
        <v>846</v>
      </c>
      <c r="C93" s="88" t="n">
        <v>35</v>
      </c>
      <c r="D93" s="30" t="s">
        <v>678</v>
      </c>
      <c r="E93" s="30" t="s">
        <v>847</v>
      </c>
    </row>
    <row r="94" customFormat="false" ht="15" hidden="false" customHeight="false" outlineLevel="0" collapsed="false">
      <c r="A94" s="33" t="s">
        <v>848</v>
      </c>
      <c r="B94" s="33" t="s">
        <v>839</v>
      </c>
      <c r="C94" s="89" t="n">
        <v>360</v>
      </c>
      <c r="D94" s="33" t="s">
        <v>849</v>
      </c>
      <c r="E94" s="33" t="s">
        <v>850</v>
      </c>
    </row>
    <row r="95" customFormat="false" ht="15" hidden="false" customHeight="false" outlineLevel="0" collapsed="false">
      <c r="A95" s="30" t="s">
        <v>851</v>
      </c>
      <c r="B95" s="30" t="s">
        <v>852</v>
      </c>
      <c r="C95" s="88" t="n">
        <v>35</v>
      </c>
      <c r="D95" s="30" t="s">
        <v>678</v>
      </c>
      <c r="E95" s="30" t="s">
        <v>853</v>
      </c>
    </row>
    <row r="96" customFormat="false" ht="15" hidden="false" customHeight="false" outlineLevel="0" collapsed="false">
      <c r="A96" s="33" t="s">
        <v>854</v>
      </c>
      <c r="B96" s="33" t="s">
        <v>855</v>
      </c>
      <c r="C96" s="89" t="n">
        <v>20</v>
      </c>
      <c r="D96" s="33" t="s">
        <v>856</v>
      </c>
      <c r="E96" s="33" t="s">
        <v>857</v>
      </c>
    </row>
    <row r="97" customFormat="false" ht="15" hidden="false" customHeight="false" outlineLevel="0" collapsed="false">
      <c r="A97" s="30" t="s">
        <v>858</v>
      </c>
      <c r="B97" s="30" t="s">
        <v>855</v>
      </c>
      <c r="C97" s="88" t="n">
        <v>20</v>
      </c>
      <c r="D97" s="30" t="s">
        <v>856</v>
      </c>
      <c r="E97" s="30" t="s">
        <v>859</v>
      </c>
    </row>
    <row r="98" customFormat="false" ht="15" hidden="false" customHeight="false" outlineLevel="0" collapsed="false">
      <c r="A98" s="33" t="s">
        <v>860</v>
      </c>
      <c r="B98" s="33" t="s">
        <v>861</v>
      </c>
      <c r="C98" s="89" t="n">
        <v>5</v>
      </c>
      <c r="D98" s="33" t="s">
        <v>862</v>
      </c>
      <c r="E98" s="33" t="s">
        <v>863</v>
      </c>
    </row>
    <row r="99" customFormat="false" ht="15" hidden="false" customHeight="false" outlineLevel="0" collapsed="false">
      <c r="A99" s="90" t="s">
        <v>864</v>
      </c>
      <c r="B99" s="90"/>
      <c r="C99" s="91" t="n">
        <v>1615</v>
      </c>
      <c r="D99" s="90" t="s">
        <v>865</v>
      </c>
      <c r="E99" s="90" t="s">
        <v>866</v>
      </c>
    </row>
  </sheetData>
  <mergeCells count="9">
    <mergeCell ref="A1:I1"/>
    <mergeCell ref="A2:I2"/>
    <mergeCell ref="A3:I3"/>
    <mergeCell ref="A24:I24"/>
    <mergeCell ref="A57:I57"/>
    <mergeCell ref="B61:D61"/>
    <mergeCell ref="A63:I63"/>
    <mergeCell ref="A76:I76"/>
    <mergeCell ref="A87:I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2026-04-07T05:02:26Z</dcterms:created>
  <dc:creator>openpyxl</dc:creator>
  <dc:description/>
  <dc:language>en-US</dc:language>
  <cp:lastModifiedBy/>
  <dcterms:modified xsi:type="dcterms:W3CDTF">2026-04-07T11:11:50Z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